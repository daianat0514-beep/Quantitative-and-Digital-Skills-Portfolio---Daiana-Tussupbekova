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s" sheetId="1" r:id="rId5"/>
    <sheet state="visible" name="Cohort" sheetId="2" r:id="rId6"/>
    <sheet state="visible" name="3 Cohorts" sheetId="3" r:id="rId7"/>
  </sheets>
  <definedNames/>
  <calcPr/>
</workbook>
</file>

<file path=xl/sharedStrings.xml><?xml version="1.0" encoding="utf-8"?>
<sst xmlns="http://schemas.openxmlformats.org/spreadsheetml/2006/main" count="134" uniqueCount="38">
  <si>
    <t>Decile</t>
  </si>
  <si>
    <t># Customers</t>
  </si>
  <si>
    <t>Total Transactions</t>
  </si>
  <si>
    <t>Revenue</t>
  </si>
  <si>
    <t>Profit</t>
  </si>
  <si>
    <t>% Customers</t>
  </si>
  <si>
    <t>% Transactions</t>
  </si>
  <si>
    <t>% Revenue</t>
  </si>
  <si>
    <t>% Profit</t>
  </si>
  <si>
    <t>Avg spend/cust</t>
  </si>
  <si>
    <t>Avg profit/cust</t>
  </si>
  <si>
    <t>AOF</t>
  </si>
  <si>
    <t>AOV</t>
  </si>
  <si>
    <t>Avg margin</t>
  </si>
  <si>
    <t>Quarter</t>
  </si>
  <si>
    <t>% active</t>
  </si>
  <si>
    <t>Avg spend/active customer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</si>
  <si>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</si>
  <si>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</si>
  <si>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</si>
  <si>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</si>
  <si>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</si>
  <si>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</si>
  <si>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</si>
  <si>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</si>
  <si>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</si>
  <si>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</si>
  <si>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</si>
  <si>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</si>
  <si>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</si>
  <si>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</si>
  <si>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</si>
  <si>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</si>
  <si>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</si>
  <si>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</si>
  <si>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</si>
  <si>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Summary table</t>
  </si>
  <si>
    <t>Ave spend/active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</si>
</sst>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b/>
      <sz val="11.0"/>
      <color rgb="FFC00000"/>
      <name val="Calibri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9D9D9"/>
        <bgColor rgb="FFD9D9D9"/>
      </patternFill>
    </fill>
  </fills>
  <borders count="7">
    <border/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right" vertical="bottom"/>
    </xf>
    <xf borderId="1" fillId="2" fontId="1" numFmtId="3" xfId="0" applyAlignment="1" applyBorder="1" applyFont="1" applyNumberFormat="1">
      <alignment horizontal="right" shrinkToFit="0" vertical="bottom" wrapText="1"/>
    </xf>
    <xf borderId="2" fillId="2" fontId="1" numFmtId="3" xfId="0" applyAlignment="1" applyBorder="1" applyFont="1" applyNumberFormat="1">
      <alignment horizontal="right" vertical="bottom"/>
    </xf>
    <xf borderId="3" fillId="2" fontId="1" numFmtId="3" xfId="0" applyAlignment="1" applyBorder="1" applyFont="1" applyNumberFormat="1">
      <alignment horizontal="right" vertical="bottom"/>
    </xf>
    <xf borderId="1" fillId="2" fontId="2" numFmtId="3" xfId="0" applyAlignment="1" applyBorder="1" applyFont="1" applyNumberFormat="1">
      <alignment vertical="bottom"/>
    </xf>
    <xf borderId="4" fillId="3" fontId="1" numFmtId="0" xfId="0" applyAlignment="1" applyBorder="1" applyFill="1" applyFont="1">
      <alignment horizontal="right" vertical="bottom"/>
    </xf>
    <xf borderId="0" fillId="0" fontId="3" numFmtId="3" xfId="0" applyFont="1" applyNumberFormat="1"/>
    <xf borderId="0" fillId="0" fontId="3" numFmtId="10" xfId="0" applyFont="1" applyNumberFormat="1"/>
    <xf borderId="0" fillId="0" fontId="3" numFmtId="4" xfId="0" applyFont="1" applyNumberFormat="1"/>
    <xf borderId="0" fillId="0" fontId="3" numFmtId="164" xfId="0" applyFont="1" applyNumberFormat="1"/>
    <xf borderId="5" fillId="0" fontId="3" numFmtId="3" xfId="0" applyBorder="1" applyFont="1" applyNumberFormat="1"/>
    <xf borderId="5" fillId="0" fontId="3" numFmtId="10" xfId="0" applyBorder="1" applyFont="1" applyNumberFormat="1"/>
    <xf borderId="5" fillId="3" fontId="3" numFmtId="4" xfId="0" applyBorder="1" applyFont="1" applyNumberFormat="1"/>
    <xf borderId="5" fillId="3" fontId="3" numFmtId="164" xfId="0" applyBorder="1" applyFont="1" applyNumberFormat="1"/>
    <xf borderId="5" fillId="3" fontId="3" numFmtId="10" xfId="0" applyBorder="1" applyFont="1" applyNumberFormat="1"/>
    <xf borderId="1" fillId="2" fontId="1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readingOrder="0" vertical="bottom"/>
    </xf>
    <xf borderId="0" fillId="0" fontId="3" numFmtId="3" xfId="0" applyAlignment="1" applyFont="1" applyNumberFormat="1">
      <alignment readingOrder="0" shrinkToFit="0" wrapText="1"/>
    </xf>
    <xf borderId="0" fillId="0" fontId="3" numFmtId="0" xfId="0" applyAlignment="1" applyFont="1">
      <alignment readingOrder="0"/>
    </xf>
    <xf borderId="2" fillId="2" fontId="1" numFmtId="0" xfId="0" applyAlignment="1" applyBorder="1" applyFont="1">
      <alignment horizontal="right" vertical="bottom"/>
    </xf>
    <xf borderId="0" fillId="0" fontId="2" numFmtId="10" xfId="0" applyAlignment="1" applyFont="1" applyNumberFormat="1">
      <alignment vertical="bottom"/>
    </xf>
    <xf borderId="1" fillId="2" fontId="1" numFmtId="0" xfId="0" applyAlignment="1" applyBorder="1" applyFont="1">
      <alignment horizontal="right" vertical="bottom"/>
    </xf>
    <xf borderId="3" fillId="2" fontId="1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2" numFmtId="4" xfId="0" applyAlignment="1" applyFont="1" applyNumberFormat="1">
      <alignment vertical="bottom"/>
    </xf>
    <xf borderId="1" fillId="2" fontId="1" numFmtId="4" xfId="0" applyAlignment="1" applyBorder="1" applyFont="1" applyNumberFormat="1">
      <alignment horizontal="right" shrinkToFit="0" vertical="bottom" wrapText="1"/>
    </xf>
    <xf borderId="6" fillId="0" fontId="1" numFmtId="0" xfId="0" applyAlignment="1" applyBorder="1" applyFont="1">
      <alignment shrinkToFit="0" vertical="bottom" wrapText="1"/>
    </xf>
    <xf borderId="1" fillId="2" fontId="1" numFmtId="4" xfId="0" applyAlignment="1" applyBorder="1" applyFont="1" applyNumberFormat="1">
      <alignment horizontal="right" vertical="bottom"/>
    </xf>
    <xf borderId="0" fillId="0" fontId="2" numFmtId="3" xfId="0" applyAlignment="1" applyFont="1" applyNumberFormat="1">
      <alignment vertical="bottom"/>
    </xf>
    <xf borderId="1" fillId="2" fontId="2" numFmtId="0" xfId="0" applyAlignment="1" applyBorder="1" applyFont="1">
      <alignment vertical="bottom"/>
    </xf>
    <xf borderId="3" fillId="2" fontId="1" numFmtId="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Cohort!$F$1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Cohort!$A$2:$A$17</c:f>
            </c:strRef>
          </c:cat>
          <c:val>
            <c:numRef>
              <c:f>Cohort!$F$2:$F$17</c:f>
              <c:numCache/>
            </c:numRef>
          </c:val>
          <c:smooth val="0"/>
        </c:ser>
        <c:axId val="1045107143"/>
        <c:axId val="1788111949"/>
      </c:lineChart>
      <c:catAx>
        <c:axId val="1045107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8111949"/>
      </c:catAx>
      <c:valAx>
        <c:axId val="1788111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107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'3 Cohorts'!$B$20:$B$21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Cohorts'!$A$22:$A$35</c:f>
            </c:strRef>
          </c:cat>
          <c:val>
            <c:numRef>
              <c:f>'3 Cohorts'!$B$22:$B$35</c:f>
              <c:numCache/>
            </c:numRef>
          </c:val>
          <c:smooth val="0"/>
        </c:ser>
        <c:ser>
          <c:idx val="1"/>
          <c:order val="1"/>
          <c:tx>
            <c:strRef>
              <c:f>'3 Cohorts'!$C$20:$C$21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Cohorts'!$A$22:$A$35</c:f>
            </c:strRef>
          </c:cat>
          <c:val>
            <c:numRef>
              <c:f>'3 Cohorts'!$C$22:$C$35</c:f>
              <c:numCache/>
            </c:numRef>
          </c:val>
          <c:smooth val="0"/>
        </c:ser>
        <c:ser>
          <c:idx val="2"/>
          <c:order val="2"/>
          <c:tx>
            <c:strRef>
              <c:f>'3 Cohorts'!$D$20:$D$21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Cohorts'!$A$22:$A$35</c:f>
            </c:strRef>
          </c:cat>
          <c:val>
            <c:numRef>
              <c:f>'3 Cohorts'!$D$22:$D$35</c:f>
              <c:numCache/>
            </c:numRef>
          </c:val>
          <c:smooth val="0"/>
        </c:ser>
        <c:axId val="840808808"/>
        <c:axId val="146103128"/>
      </c:lineChart>
      <c:catAx>
        <c:axId val="840808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03128"/>
      </c:catAx>
      <c:valAx>
        <c:axId val="146103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% active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0808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'3 Cohorts'!$E$20:$E$21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Cohorts'!$A$22:$A$35</c:f>
            </c:strRef>
          </c:cat>
          <c:val>
            <c:numRef>
              <c:f>'3 Cohorts'!$E$22:$E$35</c:f>
              <c:numCache/>
            </c:numRef>
          </c:val>
          <c:smooth val="0"/>
        </c:ser>
        <c:ser>
          <c:idx val="1"/>
          <c:order val="1"/>
          <c:tx>
            <c:strRef>
              <c:f>'3 Cohorts'!$F$20:$F$21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Cohorts'!$A$22:$A$35</c:f>
            </c:strRef>
          </c:cat>
          <c:val>
            <c:numRef>
              <c:f>'3 Cohorts'!$F$22:$F$35</c:f>
              <c:numCache/>
            </c:numRef>
          </c:val>
          <c:smooth val="0"/>
        </c:ser>
        <c:ser>
          <c:idx val="2"/>
          <c:order val="2"/>
          <c:tx>
            <c:strRef>
              <c:f>'3 Cohorts'!$G$20:$G$21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Cohorts'!$A$22:$A$35</c:f>
            </c:strRef>
          </c:cat>
          <c:val>
            <c:numRef>
              <c:f>'3 Cohorts'!$G$22:$G$35</c:f>
              <c:numCache/>
            </c:numRef>
          </c:val>
          <c:smooth val="0"/>
        </c:ser>
        <c:axId val="961264891"/>
        <c:axId val="1111370723"/>
      </c:lineChart>
      <c:catAx>
        <c:axId val="961264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370723"/>
      </c:catAx>
      <c:valAx>
        <c:axId val="1111370723"/>
        <c:scaling>
          <c:orientation val="minMax"/>
          <c:max val="1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Ave spend/active customer</a:t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12648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'3 Cohorts'!$H$20:$H$21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Cohorts'!$A$22:$A$35</c:f>
            </c:strRef>
          </c:cat>
          <c:val>
            <c:numRef>
              <c:f>'3 Cohorts'!$H$22:$H$35</c:f>
              <c:numCache/>
            </c:numRef>
          </c:val>
          <c:smooth val="0"/>
        </c:ser>
        <c:ser>
          <c:idx val="1"/>
          <c:order val="1"/>
          <c:tx>
            <c:strRef>
              <c:f>'3 Cohorts'!$I$20:$I$21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Cohorts'!$A$22:$A$35</c:f>
            </c:strRef>
          </c:cat>
          <c:val>
            <c:numRef>
              <c:f>'3 Cohorts'!$I$22:$I$35</c:f>
              <c:numCache/>
            </c:numRef>
          </c:val>
          <c:smooth val="0"/>
        </c:ser>
        <c:ser>
          <c:idx val="2"/>
          <c:order val="2"/>
          <c:tx>
            <c:strRef>
              <c:f>'3 Cohorts'!$J$20:$J$21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Cohorts'!$A$22:$A$35</c:f>
            </c:strRef>
          </c:cat>
          <c:val>
            <c:numRef>
              <c:f>'3 Cohorts'!$J$22:$J$35</c:f>
              <c:numCache/>
            </c:numRef>
          </c:val>
          <c:smooth val="0"/>
        </c:ser>
        <c:axId val="889268341"/>
        <c:axId val="866217996"/>
      </c:lineChart>
      <c:catAx>
        <c:axId val="889268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217996"/>
      </c:catAx>
      <c:valAx>
        <c:axId val="866217996"/>
        <c:scaling>
          <c:orientation val="minMax"/>
          <c:min val="3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AOV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2683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714375</xdr:colOff>
      <xdr:row>0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36</xdr:row>
      <xdr:rowOff>28575</xdr:rowOff>
    </xdr:from>
    <xdr:ext cx="4572000" cy="2828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238125</xdr:colOff>
      <xdr:row>36</xdr:row>
      <xdr:rowOff>38100</xdr:rowOff>
    </xdr:from>
    <xdr:ext cx="4467225" cy="27622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161925</xdr:colOff>
      <xdr:row>36</xdr:row>
      <xdr:rowOff>47625</xdr:rowOff>
    </xdr:from>
    <xdr:ext cx="4467225" cy="27622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>
        <v>1.0</v>
      </c>
      <c r="B2" s="3">
        <v>3180.0</v>
      </c>
      <c r="C2" s="3">
        <v>17503.0</v>
      </c>
      <c r="D2" s="3">
        <v>1.28952505E8</v>
      </c>
      <c r="E2" s="3">
        <v>6.2160175E7</v>
      </c>
    </row>
    <row r="3">
      <c r="A3" s="1">
        <v>2.0</v>
      </c>
      <c r="B3" s="1">
        <v>3180.0</v>
      </c>
      <c r="C3" s="1">
        <v>8703.0</v>
      </c>
      <c r="D3" s="1">
        <v>5.5542905E7</v>
      </c>
      <c r="E3" s="1">
        <v>2.707903E7</v>
      </c>
    </row>
    <row r="4">
      <c r="A4" s="1">
        <v>3.0</v>
      </c>
      <c r="B4" s="1">
        <v>3177.0</v>
      </c>
      <c r="C4" s="1">
        <v>6345.0</v>
      </c>
      <c r="D4" s="1">
        <v>3.8274225E7</v>
      </c>
      <c r="E4" s="1">
        <v>1.8722055E7</v>
      </c>
    </row>
    <row r="5">
      <c r="A5" s="1">
        <v>4.0</v>
      </c>
      <c r="B5" s="1">
        <v>3178.0</v>
      </c>
      <c r="C5" s="1">
        <v>5349.0</v>
      </c>
      <c r="D5" s="1">
        <v>2.901701E7</v>
      </c>
      <c r="E5" s="1">
        <v>1.3916595E7</v>
      </c>
    </row>
    <row r="6">
      <c r="A6" s="1">
        <v>5.0</v>
      </c>
      <c r="B6" s="1">
        <v>3183.0</v>
      </c>
      <c r="C6" s="1">
        <v>4683.0</v>
      </c>
      <c r="D6" s="1">
        <v>2.2555225E7</v>
      </c>
      <c r="E6" s="1">
        <v>1.0734405E7</v>
      </c>
    </row>
    <row r="7">
      <c r="A7" s="1">
        <v>6.0</v>
      </c>
      <c r="B7" s="1">
        <v>3124.0</v>
      </c>
      <c r="C7" s="1">
        <v>4330.0</v>
      </c>
      <c r="D7" s="1">
        <v>1.7169955E7</v>
      </c>
      <c r="E7" s="1">
        <v>7948270.0</v>
      </c>
    </row>
    <row r="8">
      <c r="A8" s="1">
        <v>7.0</v>
      </c>
      <c r="B8" s="1">
        <v>3233.0</v>
      </c>
      <c r="C8" s="1">
        <v>4004.0</v>
      </c>
      <c r="D8" s="1">
        <v>1.347071E7</v>
      </c>
      <c r="E8" s="1">
        <v>6240025.0</v>
      </c>
    </row>
    <row r="9">
      <c r="A9" s="1">
        <v>8.0</v>
      </c>
      <c r="B9" s="1">
        <v>2996.0</v>
      </c>
      <c r="C9" s="1">
        <v>3414.0</v>
      </c>
      <c r="D9" s="1">
        <v>9381075.0</v>
      </c>
      <c r="E9" s="1">
        <v>4326685.0</v>
      </c>
    </row>
    <row r="10">
      <c r="A10" s="1">
        <v>9.0</v>
      </c>
      <c r="B10" s="1">
        <v>3360.0</v>
      </c>
      <c r="C10" s="1">
        <v>3659.0</v>
      </c>
      <c r="D10" s="1">
        <v>7496500.0</v>
      </c>
      <c r="E10" s="1">
        <v>3334100.0</v>
      </c>
    </row>
    <row r="11">
      <c r="A11" s="4">
        <v>10.0</v>
      </c>
      <c r="B11" s="4">
        <v>3186.0</v>
      </c>
      <c r="C11" s="4">
        <v>3270.0</v>
      </c>
      <c r="D11" s="4">
        <v>3740550.0</v>
      </c>
      <c r="E11" s="4">
        <v>1554795.0</v>
      </c>
    </row>
    <row r="12">
      <c r="A12" s="5"/>
      <c r="B12" s="1">
        <v>31797.0</v>
      </c>
      <c r="C12" s="1">
        <v>61260.0</v>
      </c>
      <c r="D12" s="1">
        <v>3.2560066E8</v>
      </c>
      <c r="E12" s="1">
        <v>1.56016135E8</v>
      </c>
    </row>
    <row r="16" ht="30.75" customHeight="1">
      <c r="A16" s="6" t="s">
        <v>0</v>
      </c>
      <c r="B16" s="6" t="s">
        <v>5</v>
      </c>
      <c r="C16" s="6" t="s">
        <v>6</v>
      </c>
      <c r="D16" s="6" t="s">
        <v>7</v>
      </c>
      <c r="E16" s="6" t="s">
        <v>8</v>
      </c>
      <c r="F16" s="6" t="s">
        <v>9</v>
      </c>
      <c r="G16" s="6" t="s">
        <v>10</v>
      </c>
      <c r="H16" s="6" t="s">
        <v>11</v>
      </c>
      <c r="I16" s="6" t="s">
        <v>12</v>
      </c>
      <c r="J16" s="6" t="s">
        <v>13</v>
      </c>
    </row>
    <row r="17">
      <c r="A17" s="7">
        <v>1.0</v>
      </c>
      <c r="B17" s="8">
        <f t="shared" ref="B17:B27" si="2">B2/$B$12</f>
        <v>0.1000094349</v>
      </c>
      <c r="C17" s="8">
        <f t="shared" ref="C17:C27" si="3">C2/$C$12</f>
        <v>0.2857166177</v>
      </c>
      <c r="D17" s="8">
        <f t="shared" ref="D17:D27" si="4">D2/$D$12</f>
        <v>0.3960449742</v>
      </c>
      <c r="E17" s="8">
        <f t="shared" ref="E17:E27" si="5">E2/$E$12</f>
        <v>0.3984214517</v>
      </c>
      <c r="F17" s="9">
        <f t="shared" ref="F17:F27" si="6">D2/B2</f>
        <v>40551.1022</v>
      </c>
      <c r="G17" s="9">
        <f t="shared" ref="G17:G27" si="7">E2/B2</f>
        <v>19547.22484</v>
      </c>
      <c r="H17" s="9">
        <f t="shared" ref="H17:J17" si="1">C2/B2</f>
        <v>5.50408805</v>
      </c>
      <c r="I17" s="10">
        <f t="shared" si="1"/>
        <v>7367.45158</v>
      </c>
      <c r="J17" s="8">
        <f t="shared" si="1"/>
        <v>0.4820392981</v>
      </c>
    </row>
    <row r="18">
      <c r="A18" s="7">
        <v>2.0</v>
      </c>
      <c r="B18" s="8">
        <f t="shared" si="2"/>
        <v>0.1000094349</v>
      </c>
      <c r="C18" s="8">
        <f t="shared" si="3"/>
        <v>0.1420666014</v>
      </c>
      <c r="D18" s="8">
        <f t="shared" si="4"/>
        <v>0.1705859718</v>
      </c>
      <c r="E18" s="8">
        <f t="shared" si="5"/>
        <v>0.1735655738</v>
      </c>
      <c r="F18" s="9">
        <f t="shared" si="6"/>
        <v>17466.32233</v>
      </c>
      <c r="G18" s="9">
        <f t="shared" si="7"/>
        <v>8515.418239</v>
      </c>
      <c r="H18" s="9">
        <f t="shared" ref="H18:J18" si="8">C3/B3</f>
        <v>2.736792453</v>
      </c>
      <c r="I18" s="10">
        <f t="shared" si="8"/>
        <v>6382.04125</v>
      </c>
      <c r="J18" s="8">
        <f t="shared" si="8"/>
        <v>0.4875335563</v>
      </c>
    </row>
    <row r="19">
      <c r="A19" s="7">
        <v>3.0</v>
      </c>
      <c r="B19" s="8">
        <f t="shared" si="2"/>
        <v>0.09991508633</v>
      </c>
      <c r="C19" s="8">
        <f t="shared" si="3"/>
        <v>0.1035749265</v>
      </c>
      <c r="D19" s="8">
        <f t="shared" si="4"/>
        <v>0.1175495928</v>
      </c>
      <c r="E19" s="8">
        <f t="shared" si="5"/>
        <v>0.1200007615</v>
      </c>
      <c r="F19" s="9">
        <f t="shared" si="6"/>
        <v>12047.28517</v>
      </c>
      <c r="G19" s="9">
        <f t="shared" si="7"/>
        <v>5892.998111</v>
      </c>
      <c r="H19" s="9">
        <f t="shared" ref="H19:J19" si="9">C4/B4</f>
        <v>1.997167139</v>
      </c>
      <c r="I19" s="10">
        <f t="shared" si="9"/>
        <v>6032.186761</v>
      </c>
      <c r="J19" s="8">
        <f t="shared" si="9"/>
        <v>0.4891556916</v>
      </c>
    </row>
    <row r="20">
      <c r="A20" s="7">
        <v>4.0</v>
      </c>
      <c r="B20" s="8">
        <f t="shared" si="2"/>
        <v>0.09994653584</v>
      </c>
      <c r="C20" s="8">
        <f t="shared" si="3"/>
        <v>0.08731635651</v>
      </c>
      <c r="D20" s="8">
        <f t="shared" si="4"/>
        <v>0.08911840044</v>
      </c>
      <c r="E20" s="8">
        <f t="shared" si="5"/>
        <v>0.08919971643</v>
      </c>
      <c r="F20" s="9">
        <f t="shared" si="6"/>
        <v>9130.58842</v>
      </c>
      <c r="G20" s="9">
        <f t="shared" si="7"/>
        <v>4379.04185</v>
      </c>
      <c r="H20" s="9">
        <f t="shared" ref="H20:J20" si="10">C5/B5</f>
        <v>1.683134047</v>
      </c>
      <c r="I20" s="10">
        <f t="shared" si="10"/>
        <v>5424.75416</v>
      </c>
      <c r="J20" s="8">
        <f t="shared" si="10"/>
        <v>0.4796012753</v>
      </c>
    </row>
    <row r="21">
      <c r="A21" s="7">
        <v>5.0</v>
      </c>
      <c r="B21" s="8">
        <f t="shared" si="2"/>
        <v>0.1001037834</v>
      </c>
      <c r="C21" s="8">
        <f t="shared" si="3"/>
        <v>0.0764446621</v>
      </c>
      <c r="D21" s="8">
        <f t="shared" si="4"/>
        <v>0.06927266364</v>
      </c>
      <c r="E21" s="8">
        <f t="shared" si="5"/>
        <v>0.06880317218</v>
      </c>
      <c r="F21" s="9">
        <f t="shared" si="6"/>
        <v>7086.153</v>
      </c>
      <c r="G21" s="9">
        <f t="shared" si="7"/>
        <v>3372.417531</v>
      </c>
      <c r="H21" s="9">
        <f t="shared" ref="H21:J21" si="11">C6/B6</f>
        <v>1.471253534</v>
      </c>
      <c r="I21" s="10">
        <f t="shared" si="11"/>
        <v>4816.405082</v>
      </c>
      <c r="J21" s="8">
        <f t="shared" si="11"/>
        <v>0.4759165559</v>
      </c>
    </row>
    <row r="22">
      <c r="A22" s="7">
        <v>6.0</v>
      </c>
      <c r="B22" s="8">
        <f t="shared" si="2"/>
        <v>0.09824826241</v>
      </c>
      <c r="C22" s="8">
        <f t="shared" si="3"/>
        <v>0.07068233758</v>
      </c>
      <c r="D22" s="8">
        <f t="shared" si="4"/>
        <v>0.05273317014</v>
      </c>
      <c r="E22" s="8">
        <f t="shared" si="5"/>
        <v>0.05094517948</v>
      </c>
      <c r="F22" s="9">
        <f t="shared" si="6"/>
        <v>5496.144366</v>
      </c>
      <c r="G22" s="9">
        <f t="shared" si="7"/>
        <v>2544.260563</v>
      </c>
      <c r="H22" s="9">
        <f t="shared" ref="H22:J22" si="12">C7/B7</f>
        <v>1.386043534</v>
      </c>
      <c r="I22" s="10">
        <f t="shared" si="12"/>
        <v>3965.347575</v>
      </c>
      <c r="J22" s="8">
        <f t="shared" si="12"/>
        <v>0.462917346</v>
      </c>
    </row>
    <row r="23">
      <c r="A23" s="7">
        <v>7.0</v>
      </c>
      <c r="B23" s="8">
        <f t="shared" si="2"/>
        <v>0.1016762588</v>
      </c>
      <c r="C23" s="8">
        <f t="shared" si="3"/>
        <v>0.06536075743</v>
      </c>
      <c r="D23" s="8">
        <f t="shared" si="4"/>
        <v>0.0413718756</v>
      </c>
      <c r="E23" s="8">
        <f t="shared" si="5"/>
        <v>0.03999602349</v>
      </c>
      <c r="F23" s="9">
        <f t="shared" si="6"/>
        <v>4166.628518</v>
      </c>
      <c r="G23" s="9">
        <f t="shared" si="7"/>
        <v>1930.103619</v>
      </c>
      <c r="H23" s="9">
        <f t="shared" ref="H23:J23" si="13">C8/B8</f>
        <v>1.238478194</v>
      </c>
      <c r="I23" s="10">
        <f t="shared" si="13"/>
        <v>3364.313187</v>
      </c>
      <c r="J23" s="8">
        <f t="shared" si="13"/>
        <v>0.4632291097</v>
      </c>
    </row>
    <row r="24">
      <c r="A24" s="7">
        <v>8.0</v>
      </c>
      <c r="B24" s="8">
        <f t="shared" si="2"/>
        <v>0.09422272541</v>
      </c>
      <c r="C24" s="8">
        <f t="shared" si="3"/>
        <v>0.05572967679</v>
      </c>
      <c r="D24" s="8">
        <f t="shared" si="4"/>
        <v>0.028811597</v>
      </c>
      <c r="E24" s="8">
        <f t="shared" si="5"/>
        <v>0.02773229192</v>
      </c>
      <c r="F24" s="9">
        <f t="shared" si="6"/>
        <v>3131.199933</v>
      </c>
      <c r="G24" s="9">
        <f t="shared" si="7"/>
        <v>1444.153872</v>
      </c>
      <c r="H24" s="9">
        <f t="shared" ref="H24:J24" si="14">C9/B9</f>
        <v>1.139519359</v>
      </c>
      <c r="I24" s="10">
        <f t="shared" si="14"/>
        <v>2747.825132</v>
      </c>
      <c r="J24" s="8">
        <f t="shared" si="14"/>
        <v>0.4612141999</v>
      </c>
    </row>
    <row r="25">
      <c r="A25" s="7">
        <v>9.0</v>
      </c>
      <c r="B25" s="8">
        <f t="shared" si="2"/>
        <v>0.1056703463</v>
      </c>
      <c r="C25" s="8">
        <f t="shared" si="3"/>
        <v>0.05972902383</v>
      </c>
      <c r="D25" s="8">
        <f t="shared" si="4"/>
        <v>0.02302360198</v>
      </c>
      <c r="E25" s="8">
        <f t="shared" si="5"/>
        <v>0.02137022559</v>
      </c>
      <c r="F25" s="9">
        <f t="shared" si="6"/>
        <v>2231.10119</v>
      </c>
      <c r="G25" s="9">
        <f t="shared" si="7"/>
        <v>992.2916667</v>
      </c>
      <c r="H25" s="9">
        <f t="shared" ref="H25:J25" si="15">C10/B10</f>
        <v>1.088988095</v>
      </c>
      <c r="I25" s="10">
        <f t="shared" si="15"/>
        <v>2048.783821</v>
      </c>
      <c r="J25" s="8">
        <f t="shared" si="15"/>
        <v>0.4447542186</v>
      </c>
    </row>
    <row r="26">
      <c r="A26" s="7">
        <v>10.0</v>
      </c>
      <c r="B26" s="8">
        <f t="shared" si="2"/>
        <v>0.1001981319</v>
      </c>
      <c r="C26" s="8">
        <f t="shared" si="3"/>
        <v>0.05337904016</v>
      </c>
      <c r="D26" s="8">
        <f t="shared" si="4"/>
        <v>0.01148815239</v>
      </c>
      <c r="E26" s="8">
        <f t="shared" si="5"/>
        <v>0.009965603878</v>
      </c>
      <c r="F26" s="9">
        <f t="shared" si="6"/>
        <v>1174.05838</v>
      </c>
      <c r="G26" s="9">
        <f t="shared" si="7"/>
        <v>488.0084746</v>
      </c>
      <c r="H26" s="9">
        <f t="shared" ref="H26:J26" si="16">C11/B11</f>
        <v>1.026365348</v>
      </c>
      <c r="I26" s="10">
        <f t="shared" si="16"/>
        <v>1143.899083</v>
      </c>
      <c r="J26" s="8">
        <f t="shared" si="16"/>
        <v>0.4156594618</v>
      </c>
    </row>
    <row r="27">
      <c r="A27" s="11"/>
      <c r="B27" s="12">
        <f t="shared" si="2"/>
        <v>1</v>
      </c>
      <c r="C27" s="12">
        <f t="shared" si="3"/>
        <v>1</v>
      </c>
      <c r="D27" s="12">
        <f t="shared" si="4"/>
        <v>1</v>
      </c>
      <c r="E27" s="12">
        <f t="shared" si="5"/>
        <v>1</v>
      </c>
      <c r="F27" s="13">
        <f t="shared" si="6"/>
        <v>10239.9805</v>
      </c>
      <c r="G27" s="13">
        <f t="shared" si="7"/>
        <v>4906.630657</v>
      </c>
      <c r="H27" s="13">
        <f t="shared" ref="H27:J27" si="17">C12/B12</f>
        <v>1.926596849</v>
      </c>
      <c r="I27" s="14">
        <f t="shared" si="17"/>
        <v>5315.061378</v>
      </c>
      <c r="J27" s="15">
        <f t="shared" si="17"/>
        <v>0.4791640625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14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15</v>
      </c>
      <c r="G1" s="18" t="s">
        <v>16</v>
      </c>
      <c r="H1" s="19" t="s">
        <v>11</v>
      </c>
      <c r="I1" s="19" t="s">
        <v>12</v>
      </c>
    </row>
    <row r="2">
      <c r="A2" s="20" t="s">
        <v>17</v>
      </c>
      <c r="B2" s="3">
        <v>2943.0</v>
      </c>
      <c r="C2" s="3">
        <v>3683.0</v>
      </c>
      <c r="D2" s="3">
        <v>2.180398E7</v>
      </c>
      <c r="E2" s="3">
        <v>1.0398135E7</v>
      </c>
      <c r="F2" s="21">
        <f t="shared" ref="F2:F17" si="2">B2/$B$2</f>
        <v>1</v>
      </c>
      <c r="G2" s="7">
        <f t="shared" ref="G2:G17" si="3">D2/B2</f>
        <v>7408.759769</v>
      </c>
      <c r="H2" s="9">
        <f t="shared" ref="H2:I2" si="1">C2/B2</f>
        <v>1.251444105</v>
      </c>
      <c r="I2" s="7">
        <f t="shared" si="1"/>
        <v>5920.168341</v>
      </c>
    </row>
    <row r="3">
      <c r="A3" s="22" t="s">
        <v>18</v>
      </c>
      <c r="B3" s="1">
        <v>346.0</v>
      </c>
      <c r="C3" s="1">
        <v>513.0</v>
      </c>
      <c r="D3" s="1">
        <v>2765015.0</v>
      </c>
      <c r="E3" s="1">
        <v>1386330.0</v>
      </c>
      <c r="F3" s="21">
        <f t="shared" si="2"/>
        <v>0.1175671084</v>
      </c>
      <c r="G3" s="7">
        <f t="shared" si="3"/>
        <v>7991.372832</v>
      </c>
      <c r="H3" s="9">
        <f t="shared" ref="H3:I3" si="4">C3/B3</f>
        <v>1.48265896</v>
      </c>
      <c r="I3" s="7">
        <f t="shared" si="4"/>
        <v>5389.892788</v>
      </c>
    </row>
    <row r="4">
      <c r="A4" s="22" t="s">
        <v>19</v>
      </c>
      <c r="B4" s="1">
        <v>313.0</v>
      </c>
      <c r="C4" s="1">
        <v>451.0</v>
      </c>
      <c r="D4" s="1">
        <v>2352130.0</v>
      </c>
      <c r="E4" s="1">
        <v>1173700.0</v>
      </c>
      <c r="F4" s="21">
        <f t="shared" si="2"/>
        <v>0.1063540605</v>
      </c>
      <c r="G4" s="7">
        <f t="shared" si="3"/>
        <v>7514.792332</v>
      </c>
      <c r="H4" s="9">
        <f t="shared" ref="H4:I4" si="5">C4/B4</f>
        <v>1.440894569</v>
      </c>
      <c r="I4" s="7">
        <f t="shared" si="5"/>
        <v>5215.365854</v>
      </c>
    </row>
    <row r="5">
      <c r="A5" s="22" t="s">
        <v>20</v>
      </c>
      <c r="B5" s="1">
        <v>485.0</v>
      </c>
      <c r="C5" s="1">
        <v>819.0</v>
      </c>
      <c r="D5" s="1">
        <v>4692930.0</v>
      </c>
      <c r="E5" s="1">
        <v>2335300.0</v>
      </c>
      <c r="F5" s="21">
        <f t="shared" si="2"/>
        <v>0.1647978253</v>
      </c>
      <c r="G5" s="7">
        <f t="shared" si="3"/>
        <v>9676.14433</v>
      </c>
      <c r="H5" s="9">
        <f t="shared" ref="H5:I5" si="6">C5/B5</f>
        <v>1.688659794</v>
      </c>
      <c r="I5" s="7">
        <f t="shared" si="6"/>
        <v>5730.07326</v>
      </c>
    </row>
    <row r="6">
      <c r="A6" s="22" t="s">
        <v>21</v>
      </c>
      <c r="B6" s="1">
        <v>296.0</v>
      </c>
      <c r="C6" s="1">
        <v>435.0</v>
      </c>
      <c r="D6" s="1">
        <v>2411530.0</v>
      </c>
      <c r="E6" s="1">
        <v>1161600.0</v>
      </c>
      <c r="F6" s="21">
        <f t="shared" si="2"/>
        <v>0.1005776419</v>
      </c>
      <c r="G6" s="7">
        <f t="shared" si="3"/>
        <v>8147.060811</v>
      </c>
      <c r="H6" s="9">
        <f t="shared" ref="H6:I6" si="7">C6/B6</f>
        <v>1.469594595</v>
      </c>
      <c r="I6" s="7">
        <f t="shared" si="7"/>
        <v>5543.747126</v>
      </c>
    </row>
    <row r="7">
      <c r="A7" s="22" t="s">
        <v>22</v>
      </c>
      <c r="B7" s="1">
        <v>286.0</v>
      </c>
      <c r="C7" s="1">
        <v>453.0</v>
      </c>
      <c r="D7" s="1">
        <v>2186470.0</v>
      </c>
      <c r="E7" s="1">
        <v>1074425.0</v>
      </c>
      <c r="F7" s="21">
        <f t="shared" si="2"/>
        <v>0.09717974856</v>
      </c>
      <c r="G7" s="7">
        <f t="shared" si="3"/>
        <v>7645</v>
      </c>
      <c r="H7" s="9">
        <f t="shared" ref="H7:I7" si="8">C7/B7</f>
        <v>1.583916084</v>
      </c>
      <c r="I7" s="7">
        <f t="shared" si="8"/>
        <v>4826.644592</v>
      </c>
    </row>
    <row r="8">
      <c r="A8" s="22" t="s">
        <v>23</v>
      </c>
      <c r="B8" s="1">
        <v>245.0</v>
      </c>
      <c r="C8" s="1">
        <v>396.0</v>
      </c>
      <c r="D8" s="1">
        <v>2040280.0</v>
      </c>
      <c r="E8" s="1">
        <v>988295.0</v>
      </c>
      <c r="F8" s="21">
        <f t="shared" si="2"/>
        <v>0.083248386</v>
      </c>
      <c r="G8" s="7">
        <f t="shared" si="3"/>
        <v>8327.673469</v>
      </c>
      <c r="H8" s="9">
        <f t="shared" ref="H8:I8" si="9">C8/B8</f>
        <v>1.616326531</v>
      </c>
      <c r="I8" s="7">
        <f t="shared" si="9"/>
        <v>5152.222222</v>
      </c>
    </row>
    <row r="9">
      <c r="A9" s="22" t="s">
        <v>24</v>
      </c>
      <c r="B9" s="1">
        <v>420.0</v>
      </c>
      <c r="C9" s="1">
        <v>808.0</v>
      </c>
      <c r="D9" s="1">
        <v>4619175.0</v>
      </c>
      <c r="E9" s="1">
        <v>2215950.0</v>
      </c>
      <c r="F9" s="21">
        <f t="shared" si="2"/>
        <v>0.1427115189</v>
      </c>
      <c r="G9" s="7">
        <f t="shared" si="3"/>
        <v>10998.03571</v>
      </c>
      <c r="H9" s="9">
        <f t="shared" ref="H9:I9" si="10">C9/B9</f>
        <v>1.923809524</v>
      </c>
      <c r="I9" s="7">
        <f t="shared" si="10"/>
        <v>5716.800743</v>
      </c>
    </row>
    <row r="10">
      <c r="A10" s="22" t="s">
        <v>25</v>
      </c>
      <c r="B10" s="1">
        <v>312.0</v>
      </c>
      <c r="C10" s="1">
        <v>481.0</v>
      </c>
      <c r="D10" s="1">
        <v>2391565.0</v>
      </c>
      <c r="E10" s="1">
        <v>1101815.0</v>
      </c>
      <c r="F10" s="21">
        <f t="shared" si="2"/>
        <v>0.1060142712</v>
      </c>
      <c r="G10" s="7">
        <f t="shared" si="3"/>
        <v>7665.272436</v>
      </c>
      <c r="H10" s="9">
        <f t="shared" ref="H10:I10" si="11">C10/B10</f>
        <v>1.541666667</v>
      </c>
      <c r="I10" s="7">
        <f t="shared" si="11"/>
        <v>4972.068607</v>
      </c>
    </row>
    <row r="11">
      <c r="A11" s="22" t="s">
        <v>26</v>
      </c>
      <c r="B11" s="1">
        <v>281.0</v>
      </c>
      <c r="C11" s="1">
        <v>462.0</v>
      </c>
      <c r="D11" s="1">
        <v>2061895.0</v>
      </c>
      <c r="E11" s="1">
        <v>960080.0</v>
      </c>
      <c r="F11" s="21">
        <f t="shared" si="2"/>
        <v>0.0954808019</v>
      </c>
      <c r="G11" s="7">
        <f t="shared" si="3"/>
        <v>7337.704626</v>
      </c>
      <c r="H11" s="9">
        <f t="shared" ref="H11:I11" si="12">C11/B11</f>
        <v>1.644128114</v>
      </c>
      <c r="I11" s="7">
        <f t="shared" si="12"/>
        <v>4462.97619</v>
      </c>
    </row>
    <row r="12">
      <c r="A12" s="22" t="s">
        <v>27</v>
      </c>
      <c r="B12" s="1">
        <v>220.0</v>
      </c>
      <c r="C12" s="1">
        <v>384.0</v>
      </c>
      <c r="D12" s="1">
        <v>1826220.0</v>
      </c>
      <c r="E12" s="1">
        <v>838310.0</v>
      </c>
      <c r="F12" s="21">
        <f t="shared" si="2"/>
        <v>0.07475365274</v>
      </c>
      <c r="G12" s="7">
        <f t="shared" si="3"/>
        <v>8301</v>
      </c>
      <c r="H12" s="9">
        <f t="shared" ref="H12:I12" si="13">C12/B12</f>
        <v>1.745454545</v>
      </c>
      <c r="I12" s="7">
        <f t="shared" si="13"/>
        <v>4755.78125</v>
      </c>
    </row>
    <row r="13">
      <c r="A13" s="22" t="s">
        <v>28</v>
      </c>
      <c r="B13" s="1">
        <v>358.0</v>
      </c>
      <c r="C13" s="1">
        <v>722.0</v>
      </c>
      <c r="D13" s="1">
        <v>3652880.0</v>
      </c>
      <c r="E13" s="1">
        <v>1726835.0</v>
      </c>
      <c r="F13" s="21">
        <f t="shared" si="2"/>
        <v>0.1216445804</v>
      </c>
      <c r="G13" s="7">
        <f t="shared" si="3"/>
        <v>10203.57542</v>
      </c>
      <c r="H13" s="9">
        <f t="shared" ref="H13:I13" si="14">C13/B13</f>
        <v>2.016759777</v>
      </c>
      <c r="I13" s="7">
        <f t="shared" si="14"/>
        <v>5059.390582</v>
      </c>
    </row>
    <row r="14">
      <c r="A14" s="22" t="s">
        <v>29</v>
      </c>
      <c r="B14" s="1">
        <v>244.0</v>
      </c>
      <c r="C14" s="1">
        <v>397.0</v>
      </c>
      <c r="D14" s="1">
        <v>1945185.0</v>
      </c>
      <c r="E14" s="1">
        <v>908215.0</v>
      </c>
      <c r="F14" s="21">
        <f t="shared" si="2"/>
        <v>0.08290859667</v>
      </c>
      <c r="G14" s="7">
        <f t="shared" si="3"/>
        <v>7972.069672</v>
      </c>
      <c r="H14" s="9">
        <f t="shared" ref="H14:I14" si="15">C14/B14</f>
        <v>1.62704918</v>
      </c>
      <c r="I14" s="7">
        <f t="shared" si="15"/>
        <v>4899.710327</v>
      </c>
    </row>
    <row r="15">
      <c r="A15" s="22" t="s">
        <v>30</v>
      </c>
      <c r="B15" s="1">
        <v>236.0</v>
      </c>
      <c r="C15" s="1">
        <v>390.0</v>
      </c>
      <c r="D15" s="1">
        <v>1882925.0</v>
      </c>
      <c r="E15" s="1">
        <v>884840.0</v>
      </c>
      <c r="F15" s="21">
        <f t="shared" si="2"/>
        <v>0.08019028203</v>
      </c>
      <c r="G15" s="7">
        <f t="shared" si="3"/>
        <v>7978.495763</v>
      </c>
      <c r="H15" s="9">
        <f t="shared" ref="H15:I15" si="16">C15/B15</f>
        <v>1.652542373</v>
      </c>
      <c r="I15" s="7">
        <f t="shared" si="16"/>
        <v>4828.012821</v>
      </c>
    </row>
    <row r="16">
      <c r="A16" s="22" t="s">
        <v>31</v>
      </c>
      <c r="B16" s="1">
        <v>201.0</v>
      </c>
      <c r="C16" s="1">
        <v>338.0</v>
      </c>
      <c r="D16" s="1">
        <v>1504580.0</v>
      </c>
      <c r="E16" s="1">
        <v>703560.0</v>
      </c>
      <c r="F16" s="21">
        <f t="shared" si="2"/>
        <v>0.06829765545</v>
      </c>
      <c r="G16" s="7">
        <f t="shared" si="3"/>
        <v>7485.472637</v>
      </c>
      <c r="H16" s="9">
        <f t="shared" ref="H16:I16" si="17">C16/B16</f>
        <v>1.68159204</v>
      </c>
      <c r="I16" s="7">
        <f t="shared" si="17"/>
        <v>4451.420118</v>
      </c>
    </row>
    <row r="17">
      <c r="A17" s="23" t="s">
        <v>32</v>
      </c>
      <c r="B17" s="4">
        <v>353.0</v>
      </c>
      <c r="C17" s="4">
        <v>657.0</v>
      </c>
      <c r="D17" s="4">
        <v>3447070.0</v>
      </c>
      <c r="E17" s="4">
        <v>1627065.0</v>
      </c>
      <c r="F17" s="21">
        <f t="shared" si="2"/>
        <v>0.1199456337</v>
      </c>
      <c r="G17" s="7">
        <f t="shared" si="3"/>
        <v>9765.070822</v>
      </c>
      <c r="H17" s="9">
        <f t="shared" ref="H17:I17" si="18">C17/B17</f>
        <v>1.861189802</v>
      </c>
      <c r="I17" s="7">
        <f t="shared" si="18"/>
        <v>5246.681887</v>
      </c>
    </row>
    <row r="18">
      <c r="A18" s="24"/>
      <c r="B18" s="24"/>
      <c r="C18" s="24"/>
      <c r="D18" s="24"/>
      <c r="E18" s="24"/>
      <c r="F18" s="24"/>
      <c r="G18" s="7"/>
    </row>
    <row r="19">
      <c r="A19" s="25"/>
      <c r="B19" s="24"/>
      <c r="C19" s="24"/>
      <c r="D19" s="24"/>
      <c r="E19" s="24"/>
      <c r="F19" s="24"/>
      <c r="G19" s="7"/>
    </row>
    <row r="20">
      <c r="G20" s="7"/>
    </row>
    <row r="21">
      <c r="G21" s="7"/>
    </row>
    <row r="22">
      <c r="G22" s="7"/>
    </row>
    <row r="23">
      <c r="G23" s="7"/>
    </row>
    <row r="24">
      <c r="G24" s="7"/>
    </row>
    <row r="25">
      <c r="G25" s="7"/>
    </row>
    <row r="26">
      <c r="G26" s="7"/>
    </row>
    <row r="27">
      <c r="G27" s="7"/>
    </row>
    <row r="28">
      <c r="G28" s="7"/>
    </row>
    <row r="29">
      <c r="G29" s="7"/>
    </row>
    <row r="30">
      <c r="G30" s="7"/>
    </row>
    <row r="31">
      <c r="G31" s="7"/>
    </row>
    <row r="32">
      <c r="G32" s="7"/>
    </row>
    <row r="33">
      <c r="G33" s="7"/>
    </row>
    <row r="34">
      <c r="G34" s="7"/>
    </row>
    <row r="35">
      <c r="G35" s="7"/>
    </row>
    <row r="36">
      <c r="G36" s="7"/>
    </row>
    <row r="37">
      <c r="G37" s="7"/>
    </row>
    <row r="38">
      <c r="G38" s="7"/>
    </row>
    <row r="39">
      <c r="G39" s="7"/>
    </row>
    <row r="40">
      <c r="G40" s="7"/>
    </row>
    <row r="41">
      <c r="G41" s="7"/>
    </row>
    <row r="42">
      <c r="G42" s="7"/>
    </row>
    <row r="43">
      <c r="G43" s="7"/>
    </row>
    <row r="44">
      <c r="G44" s="7"/>
    </row>
    <row r="45">
      <c r="G45" s="7"/>
    </row>
    <row r="46">
      <c r="G46" s="7"/>
    </row>
    <row r="47">
      <c r="G47" s="7"/>
    </row>
    <row r="48">
      <c r="G48" s="7"/>
    </row>
    <row r="49">
      <c r="G49" s="7"/>
    </row>
    <row r="50">
      <c r="G50" s="7"/>
    </row>
    <row r="51">
      <c r="G51" s="7"/>
    </row>
    <row r="52">
      <c r="G52" s="7"/>
    </row>
    <row r="53">
      <c r="G53" s="7"/>
    </row>
    <row r="54">
      <c r="G54" s="7"/>
    </row>
    <row r="55">
      <c r="G55" s="7"/>
    </row>
    <row r="56">
      <c r="G56" s="7"/>
    </row>
    <row r="57">
      <c r="G57" s="7"/>
    </row>
    <row r="58">
      <c r="G58" s="7"/>
    </row>
    <row r="59">
      <c r="G59" s="7"/>
    </row>
    <row r="60">
      <c r="G60" s="7"/>
    </row>
    <row r="61">
      <c r="G61" s="7"/>
    </row>
    <row r="62">
      <c r="G62" s="7"/>
    </row>
    <row r="63">
      <c r="G63" s="7"/>
    </row>
    <row r="64">
      <c r="G64" s="7"/>
    </row>
    <row r="65">
      <c r="G65" s="7"/>
    </row>
    <row r="66">
      <c r="G66" s="7"/>
    </row>
    <row r="67">
      <c r="G67" s="7"/>
    </row>
    <row r="68">
      <c r="G68" s="7"/>
    </row>
    <row r="69">
      <c r="G69" s="7"/>
    </row>
    <row r="70">
      <c r="G70" s="7"/>
    </row>
    <row r="71">
      <c r="G71" s="7"/>
    </row>
    <row r="72">
      <c r="G72" s="7"/>
    </row>
    <row r="73">
      <c r="G73" s="7"/>
    </row>
    <row r="74">
      <c r="G74" s="7"/>
    </row>
    <row r="75">
      <c r="G75" s="7"/>
    </row>
    <row r="76">
      <c r="G76" s="7"/>
    </row>
    <row r="77">
      <c r="G77" s="7"/>
    </row>
    <row r="78">
      <c r="G78" s="7"/>
    </row>
    <row r="79">
      <c r="G79" s="7"/>
    </row>
    <row r="80">
      <c r="G80" s="7"/>
    </row>
    <row r="81">
      <c r="G81" s="7"/>
    </row>
    <row r="82">
      <c r="G82" s="7"/>
    </row>
    <row r="83">
      <c r="G83" s="7"/>
    </row>
    <row r="84">
      <c r="G84" s="7"/>
    </row>
    <row r="85">
      <c r="G85" s="7"/>
    </row>
    <row r="86">
      <c r="G86" s="7"/>
    </row>
    <row r="87">
      <c r="G87" s="7"/>
    </row>
    <row r="88">
      <c r="G88" s="7"/>
    </row>
    <row r="89">
      <c r="G89" s="7"/>
    </row>
    <row r="90">
      <c r="G90" s="7"/>
    </row>
    <row r="91">
      <c r="G91" s="7"/>
    </row>
    <row r="92">
      <c r="G92" s="7"/>
    </row>
    <row r="93">
      <c r="G93" s="7"/>
    </row>
    <row r="94">
      <c r="G94" s="7"/>
    </row>
    <row r="95">
      <c r="G95" s="7"/>
    </row>
    <row r="96">
      <c r="G96" s="7"/>
    </row>
    <row r="97">
      <c r="G97" s="7"/>
    </row>
    <row r="98">
      <c r="G98" s="7"/>
    </row>
    <row r="99">
      <c r="G99" s="7"/>
    </row>
    <row r="100">
      <c r="G100" s="7"/>
    </row>
    <row r="101">
      <c r="G101" s="7"/>
    </row>
    <row r="102">
      <c r="G102" s="7"/>
    </row>
    <row r="103">
      <c r="G103" s="7"/>
    </row>
    <row r="104">
      <c r="G104" s="7"/>
    </row>
    <row r="105">
      <c r="G105" s="7"/>
    </row>
    <row r="106">
      <c r="G106" s="7"/>
    </row>
    <row r="107">
      <c r="G107" s="7"/>
    </row>
    <row r="108">
      <c r="G108" s="7"/>
    </row>
    <row r="109">
      <c r="G109" s="7"/>
    </row>
    <row r="110">
      <c r="G110" s="7"/>
    </row>
    <row r="111">
      <c r="G111" s="7"/>
    </row>
    <row r="112">
      <c r="G112" s="7"/>
    </row>
    <row r="113">
      <c r="G113" s="7"/>
    </row>
    <row r="114">
      <c r="G114" s="7"/>
    </row>
    <row r="115">
      <c r="G115" s="7"/>
    </row>
    <row r="116">
      <c r="G116" s="7"/>
    </row>
    <row r="117">
      <c r="G117" s="7"/>
    </row>
    <row r="118">
      <c r="G118" s="7"/>
    </row>
    <row r="119">
      <c r="G119" s="7"/>
    </row>
    <row r="120">
      <c r="G120" s="7"/>
    </row>
    <row r="121">
      <c r="G121" s="7"/>
    </row>
    <row r="122">
      <c r="G122" s="7"/>
    </row>
    <row r="123">
      <c r="G123" s="7"/>
    </row>
    <row r="124">
      <c r="G124" s="7"/>
    </row>
    <row r="125">
      <c r="G125" s="7"/>
    </row>
    <row r="126">
      <c r="G126" s="7"/>
    </row>
    <row r="127">
      <c r="G127" s="7"/>
    </row>
    <row r="128">
      <c r="G128" s="7"/>
    </row>
    <row r="129">
      <c r="G129" s="7"/>
    </row>
    <row r="130">
      <c r="G130" s="7"/>
    </row>
    <row r="131">
      <c r="G131" s="7"/>
    </row>
    <row r="132">
      <c r="G132" s="7"/>
    </row>
    <row r="133">
      <c r="G133" s="7"/>
    </row>
    <row r="134">
      <c r="G134" s="7"/>
    </row>
    <row r="135">
      <c r="G135" s="7"/>
    </row>
    <row r="136">
      <c r="G136" s="7"/>
    </row>
    <row r="137">
      <c r="G137" s="7"/>
    </row>
    <row r="138">
      <c r="G138" s="7"/>
    </row>
    <row r="139">
      <c r="G139" s="7"/>
    </row>
    <row r="140">
      <c r="G140" s="7"/>
    </row>
    <row r="141">
      <c r="G141" s="7"/>
    </row>
    <row r="142">
      <c r="G142" s="7"/>
    </row>
    <row r="143">
      <c r="G143" s="7"/>
    </row>
    <row r="144">
      <c r="G144" s="7"/>
    </row>
    <row r="145">
      <c r="G145" s="7"/>
    </row>
    <row r="146">
      <c r="G146" s="7"/>
    </row>
    <row r="147">
      <c r="G147" s="7"/>
    </row>
    <row r="148">
      <c r="G148" s="7"/>
    </row>
    <row r="149">
      <c r="G149" s="7"/>
    </row>
    <row r="150">
      <c r="G150" s="7"/>
    </row>
    <row r="151">
      <c r="G151" s="7"/>
    </row>
    <row r="152">
      <c r="G152" s="7"/>
    </row>
    <row r="153">
      <c r="G153" s="7"/>
    </row>
    <row r="154">
      <c r="G154" s="7"/>
    </row>
    <row r="155">
      <c r="G155" s="7"/>
    </row>
    <row r="156">
      <c r="G156" s="7"/>
    </row>
    <row r="157">
      <c r="G157" s="7"/>
    </row>
    <row r="158">
      <c r="G158" s="7"/>
    </row>
    <row r="159">
      <c r="G159" s="7"/>
    </row>
    <row r="160">
      <c r="G160" s="7"/>
    </row>
    <row r="161">
      <c r="G161" s="7"/>
    </row>
    <row r="162">
      <c r="G162" s="7"/>
    </row>
    <row r="163">
      <c r="G163" s="7"/>
    </row>
    <row r="164">
      <c r="G164" s="7"/>
    </row>
    <row r="165">
      <c r="G165" s="7"/>
    </row>
    <row r="166">
      <c r="G166" s="7"/>
    </row>
    <row r="167">
      <c r="G167" s="7"/>
    </row>
    <row r="168">
      <c r="G168" s="7"/>
    </row>
    <row r="169">
      <c r="G169" s="7"/>
    </row>
    <row r="170">
      <c r="G170" s="7"/>
    </row>
    <row r="171">
      <c r="G171" s="7"/>
    </row>
    <row r="172">
      <c r="G172" s="7"/>
    </row>
    <row r="173">
      <c r="G173" s="7"/>
    </row>
    <row r="174">
      <c r="G174" s="7"/>
    </row>
    <row r="175">
      <c r="G175" s="7"/>
    </row>
    <row r="176">
      <c r="G176" s="7"/>
    </row>
    <row r="177">
      <c r="G177" s="7"/>
    </row>
    <row r="178">
      <c r="G178" s="7"/>
    </row>
    <row r="179">
      <c r="G179" s="7"/>
    </row>
    <row r="180">
      <c r="G180" s="7"/>
    </row>
    <row r="181">
      <c r="G181" s="7"/>
    </row>
    <row r="182">
      <c r="G182" s="7"/>
    </row>
    <row r="183">
      <c r="G183" s="7"/>
    </row>
    <row r="184">
      <c r="G184" s="7"/>
    </row>
    <row r="185">
      <c r="G185" s="7"/>
    </row>
    <row r="186">
      <c r="G186" s="7"/>
    </row>
    <row r="187">
      <c r="G187" s="7"/>
    </row>
    <row r="188">
      <c r="G188" s="7"/>
    </row>
    <row r="189">
      <c r="G189" s="7"/>
    </row>
    <row r="190">
      <c r="G190" s="7"/>
    </row>
    <row r="191">
      <c r="G191" s="7"/>
    </row>
    <row r="192">
      <c r="G192" s="7"/>
    </row>
    <row r="193">
      <c r="G193" s="7"/>
    </row>
    <row r="194">
      <c r="G194" s="7"/>
    </row>
    <row r="195">
      <c r="G195" s="7"/>
    </row>
    <row r="196">
      <c r="G196" s="7"/>
    </row>
    <row r="197">
      <c r="G197" s="7"/>
    </row>
    <row r="198">
      <c r="G198" s="7"/>
    </row>
    <row r="199">
      <c r="G199" s="7"/>
    </row>
    <row r="200">
      <c r="G200" s="7"/>
    </row>
    <row r="201">
      <c r="G201" s="7"/>
    </row>
    <row r="202">
      <c r="G202" s="7"/>
    </row>
    <row r="203">
      <c r="G203" s="7"/>
    </row>
    <row r="204">
      <c r="G204" s="7"/>
    </row>
    <row r="205">
      <c r="G205" s="7"/>
    </row>
    <row r="206">
      <c r="G206" s="7"/>
    </row>
    <row r="207">
      <c r="G207" s="7"/>
    </row>
    <row r="208">
      <c r="G208" s="7"/>
    </row>
    <row r="209">
      <c r="G209" s="7"/>
    </row>
    <row r="210">
      <c r="G210" s="7"/>
    </row>
    <row r="211">
      <c r="G211" s="7"/>
    </row>
    <row r="212">
      <c r="G212" s="7"/>
    </row>
    <row r="213">
      <c r="G213" s="7"/>
    </row>
    <row r="214">
      <c r="G214" s="7"/>
    </row>
    <row r="215">
      <c r="G215" s="7"/>
    </row>
    <row r="216">
      <c r="G216" s="7"/>
    </row>
    <row r="217">
      <c r="G217" s="7"/>
    </row>
    <row r="218">
      <c r="G218" s="7"/>
    </row>
    <row r="219">
      <c r="G219" s="7"/>
    </row>
    <row r="220">
      <c r="G220" s="7"/>
    </row>
    <row r="221">
      <c r="G221" s="7"/>
    </row>
    <row r="222">
      <c r="G222" s="7"/>
    </row>
    <row r="223">
      <c r="G223" s="7"/>
    </row>
    <row r="224">
      <c r="G224" s="7"/>
    </row>
    <row r="225">
      <c r="G225" s="7"/>
    </row>
    <row r="226">
      <c r="G226" s="7"/>
    </row>
    <row r="227">
      <c r="G227" s="7"/>
    </row>
    <row r="228">
      <c r="G228" s="7"/>
    </row>
    <row r="229">
      <c r="G229" s="7"/>
    </row>
    <row r="230">
      <c r="G230" s="7"/>
    </row>
    <row r="231">
      <c r="G231" s="7"/>
    </row>
    <row r="232">
      <c r="G232" s="7"/>
    </row>
    <row r="233">
      <c r="G233" s="7"/>
    </row>
    <row r="234">
      <c r="G234" s="7"/>
    </row>
    <row r="235">
      <c r="G235" s="7"/>
    </row>
    <row r="236">
      <c r="G236" s="7"/>
    </row>
    <row r="237">
      <c r="G237" s="7"/>
    </row>
    <row r="238">
      <c r="G238" s="7"/>
    </row>
    <row r="239">
      <c r="G239" s="7"/>
    </row>
    <row r="240">
      <c r="G240" s="7"/>
    </row>
    <row r="241">
      <c r="G241" s="7"/>
    </row>
    <row r="242">
      <c r="G242" s="7"/>
    </row>
    <row r="243">
      <c r="G243" s="7"/>
    </row>
    <row r="244">
      <c r="G244" s="7"/>
    </row>
    <row r="245">
      <c r="G245" s="7"/>
    </row>
    <row r="246">
      <c r="G246" s="7"/>
    </row>
    <row r="247">
      <c r="G247" s="7"/>
    </row>
    <row r="248">
      <c r="G248" s="7"/>
    </row>
    <row r="249">
      <c r="G249" s="7"/>
    </row>
    <row r="250">
      <c r="G250" s="7"/>
    </row>
    <row r="251">
      <c r="G251" s="7"/>
    </row>
    <row r="252">
      <c r="G252" s="7"/>
    </row>
    <row r="253">
      <c r="G253" s="7"/>
    </row>
    <row r="254">
      <c r="G254" s="7"/>
    </row>
    <row r="255">
      <c r="G255" s="7"/>
    </row>
    <row r="256">
      <c r="G256" s="7"/>
    </row>
    <row r="257">
      <c r="G257" s="7"/>
    </row>
    <row r="258">
      <c r="G258" s="7"/>
    </row>
    <row r="259">
      <c r="G259" s="7"/>
    </row>
    <row r="260">
      <c r="G260" s="7"/>
    </row>
    <row r="261">
      <c r="G261" s="7"/>
    </row>
    <row r="262">
      <c r="G262" s="7"/>
    </row>
    <row r="263">
      <c r="G263" s="7"/>
    </row>
    <row r="264">
      <c r="G264" s="7"/>
    </row>
    <row r="265">
      <c r="G265" s="7"/>
    </row>
    <row r="266">
      <c r="G266" s="7"/>
    </row>
    <row r="267">
      <c r="G267" s="7"/>
    </row>
    <row r="268">
      <c r="G268" s="7"/>
    </row>
    <row r="269">
      <c r="G269" s="7"/>
    </row>
    <row r="270">
      <c r="G270" s="7"/>
    </row>
    <row r="271">
      <c r="G271" s="7"/>
    </row>
    <row r="272">
      <c r="G272" s="7"/>
    </row>
    <row r="273">
      <c r="G273" s="7"/>
    </row>
    <row r="274">
      <c r="G274" s="7"/>
    </row>
    <row r="275">
      <c r="G275" s="7"/>
    </row>
    <row r="276">
      <c r="G276" s="7"/>
    </row>
    <row r="277">
      <c r="G277" s="7"/>
    </row>
    <row r="278">
      <c r="G278" s="7"/>
    </row>
    <row r="279">
      <c r="G279" s="7"/>
    </row>
    <row r="280">
      <c r="G280" s="7"/>
    </row>
    <row r="281">
      <c r="G281" s="7"/>
    </row>
    <row r="282">
      <c r="G282" s="7"/>
    </row>
    <row r="283">
      <c r="G283" s="7"/>
    </row>
    <row r="284">
      <c r="G284" s="7"/>
    </row>
    <row r="285">
      <c r="G285" s="7"/>
    </row>
    <row r="286">
      <c r="G286" s="7"/>
    </row>
    <row r="287">
      <c r="G287" s="7"/>
    </row>
    <row r="288">
      <c r="G288" s="7"/>
    </row>
    <row r="289">
      <c r="G289" s="7"/>
    </row>
    <row r="290">
      <c r="G290" s="7"/>
    </row>
    <row r="291">
      <c r="G291" s="7"/>
    </row>
    <row r="292">
      <c r="G292" s="7"/>
    </row>
    <row r="293">
      <c r="G293" s="7"/>
    </row>
    <row r="294">
      <c r="G294" s="7"/>
    </row>
    <row r="295">
      <c r="G295" s="7"/>
    </row>
    <row r="296">
      <c r="G296" s="7"/>
    </row>
    <row r="297">
      <c r="G297" s="7"/>
    </row>
    <row r="298">
      <c r="G298" s="7"/>
    </row>
    <row r="299">
      <c r="G299" s="7"/>
    </row>
    <row r="300">
      <c r="G300" s="7"/>
    </row>
    <row r="301">
      <c r="G301" s="7"/>
    </row>
    <row r="302">
      <c r="G302" s="7"/>
    </row>
    <row r="303">
      <c r="G303" s="7"/>
    </row>
    <row r="304">
      <c r="G304" s="7"/>
    </row>
    <row r="305">
      <c r="G305" s="7"/>
    </row>
    <row r="306">
      <c r="G306" s="7"/>
    </row>
    <row r="307">
      <c r="G307" s="7"/>
    </row>
    <row r="308">
      <c r="G308" s="7"/>
    </row>
    <row r="309">
      <c r="G309" s="7"/>
    </row>
    <row r="310">
      <c r="G310" s="7"/>
    </row>
    <row r="311">
      <c r="G311" s="7"/>
    </row>
    <row r="312">
      <c r="G312" s="7"/>
    </row>
    <row r="313">
      <c r="G313" s="7"/>
    </row>
    <row r="314">
      <c r="G314" s="7"/>
    </row>
    <row r="315">
      <c r="G315" s="7"/>
    </row>
    <row r="316">
      <c r="G316" s="7"/>
    </row>
    <row r="317">
      <c r="G317" s="7"/>
    </row>
    <row r="318">
      <c r="G318" s="7"/>
    </row>
    <row r="319">
      <c r="G319" s="7"/>
    </row>
    <row r="320">
      <c r="G320" s="7"/>
    </row>
    <row r="321">
      <c r="G321" s="7"/>
    </row>
    <row r="322">
      <c r="G322" s="7"/>
    </row>
    <row r="323">
      <c r="G323" s="7"/>
    </row>
    <row r="324">
      <c r="G324" s="7"/>
    </row>
    <row r="325">
      <c r="G325" s="7"/>
    </row>
    <row r="326">
      <c r="G326" s="7"/>
    </row>
    <row r="327">
      <c r="G327" s="7"/>
    </row>
    <row r="328">
      <c r="G328" s="7"/>
    </row>
    <row r="329">
      <c r="G329" s="7"/>
    </row>
    <row r="330">
      <c r="G330" s="7"/>
    </row>
    <row r="331">
      <c r="G331" s="7"/>
    </row>
    <row r="332">
      <c r="G332" s="7"/>
    </row>
    <row r="333">
      <c r="G333" s="7"/>
    </row>
    <row r="334">
      <c r="G334" s="7"/>
    </row>
    <row r="335">
      <c r="G335" s="7"/>
    </row>
    <row r="336">
      <c r="G336" s="7"/>
    </row>
    <row r="337">
      <c r="G337" s="7"/>
    </row>
    <row r="338">
      <c r="G338" s="7"/>
    </row>
    <row r="339">
      <c r="G339" s="7"/>
    </row>
    <row r="340">
      <c r="G340" s="7"/>
    </row>
    <row r="341">
      <c r="G341" s="7"/>
    </row>
    <row r="342">
      <c r="G342" s="7"/>
    </row>
    <row r="343">
      <c r="G343" s="7"/>
    </row>
    <row r="344">
      <c r="G344" s="7"/>
    </row>
    <row r="345">
      <c r="G345" s="7"/>
    </row>
    <row r="346">
      <c r="G346" s="7"/>
    </row>
    <row r="347">
      <c r="G347" s="7"/>
    </row>
    <row r="348">
      <c r="G348" s="7"/>
    </row>
    <row r="349">
      <c r="G349" s="7"/>
    </row>
    <row r="350">
      <c r="G350" s="7"/>
    </row>
    <row r="351">
      <c r="G351" s="7"/>
    </row>
    <row r="352">
      <c r="G352" s="7"/>
    </row>
    <row r="353">
      <c r="G353" s="7"/>
    </row>
    <row r="354">
      <c r="G354" s="7"/>
    </row>
    <row r="355">
      <c r="G355" s="7"/>
    </row>
    <row r="356">
      <c r="G356" s="7"/>
    </row>
    <row r="357">
      <c r="G357" s="7"/>
    </row>
    <row r="358">
      <c r="G358" s="7"/>
    </row>
    <row r="359">
      <c r="G359" s="7"/>
    </row>
    <row r="360">
      <c r="G360" s="7"/>
    </row>
    <row r="361">
      <c r="G361" s="7"/>
    </row>
    <row r="362">
      <c r="G362" s="7"/>
    </row>
    <row r="363">
      <c r="G363" s="7"/>
    </row>
    <row r="364">
      <c r="G364" s="7"/>
    </row>
    <row r="365">
      <c r="G365" s="7"/>
    </row>
    <row r="366">
      <c r="G366" s="7"/>
    </row>
    <row r="367">
      <c r="G367" s="7"/>
    </row>
    <row r="368">
      <c r="G368" s="7"/>
    </row>
    <row r="369">
      <c r="G369" s="7"/>
    </row>
    <row r="370">
      <c r="G370" s="7"/>
    </row>
    <row r="371">
      <c r="G371" s="7"/>
    </row>
    <row r="372">
      <c r="G372" s="7"/>
    </row>
    <row r="373">
      <c r="G373" s="7"/>
    </row>
    <row r="374">
      <c r="G374" s="7"/>
    </row>
    <row r="375">
      <c r="G375" s="7"/>
    </row>
    <row r="376">
      <c r="G376" s="7"/>
    </row>
    <row r="377">
      <c r="G377" s="7"/>
    </row>
    <row r="378">
      <c r="G378" s="7"/>
    </row>
    <row r="379">
      <c r="G379" s="7"/>
    </row>
    <row r="380">
      <c r="G380" s="7"/>
    </row>
    <row r="381">
      <c r="G381" s="7"/>
    </row>
    <row r="382">
      <c r="G382" s="7"/>
    </row>
    <row r="383">
      <c r="G383" s="7"/>
    </row>
    <row r="384">
      <c r="G384" s="7"/>
    </row>
    <row r="385">
      <c r="G385" s="7"/>
    </row>
    <row r="386">
      <c r="G386" s="7"/>
    </row>
    <row r="387">
      <c r="G387" s="7"/>
    </row>
    <row r="388">
      <c r="G388" s="7"/>
    </row>
    <row r="389">
      <c r="G389" s="7"/>
    </row>
    <row r="390">
      <c r="G390" s="7"/>
    </row>
    <row r="391">
      <c r="G391" s="7"/>
    </row>
    <row r="392">
      <c r="G392" s="7"/>
    </row>
    <row r="393">
      <c r="G393" s="7"/>
    </row>
    <row r="394">
      <c r="G394" s="7"/>
    </row>
    <row r="395">
      <c r="G395" s="7"/>
    </row>
    <row r="396">
      <c r="G396" s="7"/>
    </row>
    <row r="397">
      <c r="G397" s="7"/>
    </row>
    <row r="398">
      <c r="G398" s="7"/>
    </row>
    <row r="399">
      <c r="G399" s="7"/>
    </row>
    <row r="400">
      <c r="G400" s="7"/>
    </row>
    <row r="401">
      <c r="G401" s="7"/>
    </row>
    <row r="402">
      <c r="G402" s="7"/>
    </row>
    <row r="403">
      <c r="G403" s="7"/>
    </row>
    <row r="404">
      <c r="G404" s="7"/>
    </row>
    <row r="405">
      <c r="G405" s="7"/>
    </row>
    <row r="406">
      <c r="G406" s="7"/>
    </row>
    <row r="407">
      <c r="G407" s="7"/>
    </row>
    <row r="408">
      <c r="G408" s="7"/>
    </row>
    <row r="409">
      <c r="G409" s="7"/>
    </row>
    <row r="410">
      <c r="G410" s="7"/>
    </row>
    <row r="411">
      <c r="G411" s="7"/>
    </row>
    <row r="412">
      <c r="G412" s="7"/>
    </row>
    <row r="413">
      <c r="G413" s="7"/>
    </row>
    <row r="414">
      <c r="G414" s="7"/>
    </row>
    <row r="415">
      <c r="G415" s="7"/>
    </row>
    <row r="416">
      <c r="G416" s="7"/>
    </row>
    <row r="417">
      <c r="G417" s="7"/>
    </row>
    <row r="418">
      <c r="G418" s="7"/>
    </row>
    <row r="419">
      <c r="G419" s="7"/>
    </row>
    <row r="420">
      <c r="G420" s="7"/>
    </row>
    <row r="421">
      <c r="G421" s="7"/>
    </row>
    <row r="422">
      <c r="G422" s="7"/>
    </row>
    <row r="423">
      <c r="G423" s="7"/>
    </row>
    <row r="424">
      <c r="G424" s="7"/>
    </row>
    <row r="425">
      <c r="G425" s="7"/>
    </row>
    <row r="426">
      <c r="G426" s="7"/>
    </row>
    <row r="427">
      <c r="G427" s="7"/>
    </row>
    <row r="428">
      <c r="G428" s="7"/>
    </row>
    <row r="429">
      <c r="G429" s="7"/>
    </row>
    <row r="430">
      <c r="G430" s="7"/>
    </row>
    <row r="431">
      <c r="G431" s="7"/>
    </row>
    <row r="432">
      <c r="G432" s="7"/>
    </row>
    <row r="433">
      <c r="G433" s="7"/>
    </row>
    <row r="434">
      <c r="G434" s="7"/>
    </row>
    <row r="435">
      <c r="G435" s="7"/>
    </row>
    <row r="436">
      <c r="G436" s="7"/>
    </row>
    <row r="437">
      <c r="G437" s="7"/>
    </row>
    <row r="438">
      <c r="G438" s="7"/>
    </row>
    <row r="439">
      <c r="G439" s="7"/>
    </row>
    <row r="440">
      <c r="G440" s="7"/>
    </row>
    <row r="441">
      <c r="G441" s="7"/>
    </row>
    <row r="442">
      <c r="G442" s="7"/>
    </row>
    <row r="443">
      <c r="G443" s="7"/>
    </row>
    <row r="444">
      <c r="G444" s="7"/>
    </row>
    <row r="445">
      <c r="G445" s="7"/>
    </row>
    <row r="446">
      <c r="G446" s="7"/>
    </row>
    <row r="447">
      <c r="G447" s="7"/>
    </row>
    <row r="448">
      <c r="G448" s="7"/>
    </row>
    <row r="449">
      <c r="G449" s="7"/>
    </row>
    <row r="450">
      <c r="G450" s="7"/>
    </row>
    <row r="451">
      <c r="G451" s="7"/>
    </row>
    <row r="452">
      <c r="G452" s="7"/>
    </row>
    <row r="453">
      <c r="G453" s="7"/>
    </row>
    <row r="454">
      <c r="G454" s="7"/>
    </row>
    <row r="455">
      <c r="G455" s="7"/>
    </row>
    <row r="456">
      <c r="G456" s="7"/>
    </row>
    <row r="457">
      <c r="G457" s="7"/>
    </row>
    <row r="458">
      <c r="G458" s="7"/>
    </row>
    <row r="459">
      <c r="G459" s="7"/>
    </row>
    <row r="460">
      <c r="G460" s="7"/>
    </row>
    <row r="461">
      <c r="G461" s="7"/>
    </row>
    <row r="462">
      <c r="G462" s="7"/>
    </row>
    <row r="463">
      <c r="G463" s="7"/>
    </row>
    <row r="464">
      <c r="G464" s="7"/>
    </row>
    <row r="465">
      <c r="G465" s="7"/>
    </row>
    <row r="466">
      <c r="G466" s="7"/>
    </row>
    <row r="467">
      <c r="G467" s="7"/>
    </row>
    <row r="468">
      <c r="G468" s="7"/>
    </row>
    <row r="469">
      <c r="G469" s="7"/>
    </row>
    <row r="470">
      <c r="G470" s="7"/>
    </row>
    <row r="471">
      <c r="G471" s="7"/>
    </row>
    <row r="472">
      <c r="G472" s="7"/>
    </row>
    <row r="473">
      <c r="G473" s="7"/>
    </row>
    <row r="474">
      <c r="G474" s="7"/>
    </row>
    <row r="475">
      <c r="G475" s="7"/>
    </row>
    <row r="476">
      <c r="G476" s="7"/>
    </row>
    <row r="477">
      <c r="G477" s="7"/>
    </row>
    <row r="478">
      <c r="G478" s="7"/>
    </row>
    <row r="479">
      <c r="G479" s="7"/>
    </row>
    <row r="480">
      <c r="G480" s="7"/>
    </row>
    <row r="481">
      <c r="G481" s="7"/>
    </row>
    <row r="482">
      <c r="G482" s="7"/>
    </row>
    <row r="483">
      <c r="G483" s="7"/>
    </row>
    <row r="484">
      <c r="G484" s="7"/>
    </row>
    <row r="485">
      <c r="G485" s="7"/>
    </row>
    <row r="486">
      <c r="G486" s="7"/>
    </row>
    <row r="487">
      <c r="G487" s="7"/>
    </row>
    <row r="488">
      <c r="G488" s="7"/>
    </row>
    <row r="489">
      <c r="G489" s="7"/>
    </row>
    <row r="490">
      <c r="G490" s="7"/>
    </row>
    <row r="491">
      <c r="G491" s="7"/>
    </row>
    <row r="492">
      <c r="G492" s="7"/>
    </row>
    <row r="493">
      <c r="G493" s="7"/>
    </row>
    <row r="494">
      <c r="G494" s="7"/>
    </row>
    <row r="495">
      <c r="G495" s="7"/>
    </row>
    <row r="496">
      <c r="G496" s="7"/>
    </row>
    <row r="497">
      <c r="G497" s="7"/>
    </row>
    <row r="498">
      <c r="G498" s="7"/>
    </row>
    <row r="499">
      <c r="G499" s="7"/>
    </row>
    <row r="500">
      <c r="G500" s="7"/>
    </row>
    <row r="501">
      <c r="G501" s="7"/>
    </row>
    <row r="502">
      <c r="G502" s="7"/>
    </row>
    <row r="503">
      <c r="G503" s="7"/>
    </row>
    <row r="504">
      <c r="G504" s="7"/>
    </row>
    <row r="505">
      <c r="G505" s="7"/>
    </row>
    <row r="506">
      <c r="G506" s="7"/>
    </row>
    <row r="507">
      <c r="G507" s="7"/>
    </row>
    <row r="508">
      <c r="G508" s="7"/>
    </row>
    <row r="509">
      <c r="G509" s="7"/>
    </row>
    <row r="510">
      <c r="G510" s="7"/>
    </row>
    <row r="511">
      <c r="G511" s="7"/>
    </row>
    <row r="512">
      <c r="G512" s="7"/>
    </row>
    <row r="513">
      <c r="G513" s="7"/>
    </row>
    <row r="514">
      <c r="G514" s="7"/>
    </row>
    <row r="515">
      <c r="G515" s="7"/>
    </row>
    <row r="516">
      <c r="G516" s="7"/>
    </row>
    <row r="517">
      <c r="G517" s="7"/>
    </row>
    <row r="518">
      <c r="G518" s="7"/>
    </row>
    <row r="519">
      <c r="G519" s="7"/>
    </row>
    <row r="520">
      <c r="G520" s="7"/>
    </row>
    <row r="521">
      <c r="G521" s="7"/>
    </row>
    <row r="522">
      <c r="G522" s="7"/>
    </row>
    <row r="523">
      <c r="G523" s="7"/>
    </row>
    <row r="524">
      <c r="G524" s="7"/>
    </row>
    <row r="525">
      <c r="G525" s="7"/>
    </row>
    <row r="526">
      <c r="G526" s="7"/>
    </row>
    <row r="527">
      <c r="G527" s="7"/>
    </row>
    <row r="528">
      <c r="G528" s="7"/>
    </row>
    <row r="529">
      <c r="G529" s="7"/>
    </row>
    <row r="530">
      <c r="G530" s="7"/>
    </row>
    <row r="531">
      <c r="G531" s="7"/>
    </row>
    <row r="532">
      <c r="G532" s="7"/>
    </row>
    <row r="533">
      <c r="G533" s="7"/>
    </row>
    <row r="534">
      <c r="G534" s="7"/>
    </row>
    <row r="535">
      <c r="G535" s="7"/>
    </row>
    <row r="536">
      <c r="G536" s="7"/>
    </row>
    <row r="537">
      <c r="G537" s="7"/>
    </row>
    <row r="538">
      <c r="G538" s="7"/>
    </row>
    <row r="539">
      <c r="G539" s="7"/>
    </row>
    <row r="540">
      <c r="G540" s="7"/>
    </row>
    <row r="541">
      <c r="G541" s="7"/>
    </row>
    <row r="542">
      <c r="G542" s="7"/>
    </row>
    <row r="543">
      <c r="G543" s="7"/>
    </row>
    <row r="544">
      <c r="G544" s="7"/>
    </row>
    <row r="545">
      <c r="G545" s="7"/>
    </row>
    <row r="546">
      <c r="G546" s="7"/>
    </row>
    <row r="547">
      <c r="G547" s="7"/>
    </row>
    <row r="548">
      <c r="G548" s="7"/>
    </row>
    <row r="549">
      <c r="G549" s="7"/>
    </row>
    <row r="550">
      <c r="G550" s="7"/>
    </row>
    <row r="551">
      <c r="G551" s="7"/>
    </row>
    <row r="552">
      <c r="G552" s="7"/>
    </row>
    <row r="553">
      <c r="G553" s="7"/>
    </row>
    <row r="554">
      <c r="G554" s="7"/>
    </row>
    <row r="555">
      <c r="G555" s="7"/>
    </row>
    <row r="556">
      <c r="G556" s="7"/>
    </row>
    <row r="557">
      <c r="G557" s="7"/>
    </row>
    <row r="558">
      <c r="G558" s="7"/>
    </row>
    <row r="559">
      <c r="G559" s="7"/>
    </row>
    <row r="560">
      <c r="G560" s="7"/>
    </row>
    <row r="561">
      <c r="G561" s="7"/>
    </row>
    <row r="562">
      <c r="G562" s="7"/>
    </row>
    <row r="563">
      <c r="G563" s="7"/>
    </row>
    <row r="564">
      <c r="G564" s="7"/>
    </row>
    <row r="565">
      <c r="G565" s="7"/>
    </row>
    <row r="566">
      <c r="G566" s="7"/>
    </row>
    <row r="567">
      <c r="G567" s="7"/>
    </row>
    <row r="568">
      <c r="G568" s="7"/>
    </row>
    <row r="569">
      <c r="G569" s="7"/>
    </row>
    <row r="570">
      <c r="G570" s="7"/>
    </row>
    <row r="571">
      <c r="G571" s="7"/>
    </row>
    <row r="572">
      <c r="G572" s="7"/>
    </row>
    <row r="573">
      <c r="G573" s="7"/>
    </row>
    <row r="574">
      <c r="G574" s="7"/>
    </row>
    <row r="575">
      <c r="G575" s="7"/>
    </row>
    <row r="576">
      <c r="G576" s="7"/>
    </row>
    <row r="577">
      <c r="G577" s="7"/>
    </row>
    <row r="578">
      <c r="G578" s="7"/>
    </row>
    <row r="579">
      <c r="G579" s="7"/>
    </row>
    <row r="580">
      <c r="G580" s="7"/>
    </row>
    <row r="581">
      <c r="G581" s="7"/>
    </row>
    <row r="582">
      <c r="G582" s="7"/>
    </row>
    <row r="583">
      <c r="G583" s="7"/>
    </row>
    <row r="584">
      <c r="G584" s="7"/>
    </row>
    <row r="585">
      <c r="G585" s="7"/>
    </row>
    <row r="586">
      <c r="G586" s="7"/>
    </row>
    <row r="587">
      <c r="G587" s="7"/>
    </row>
    <row r="588">
      <c r="G588" s="7"/>
    </row>
    <row r="589">
      <c r="G589" s="7"/>
    </row>
    <row r="590">
      <c r="G590" s="7"/>
    </row>
    <row r="591">
      <c r="G591" s="7"/>
    </row>
    <row r="592">
      <c r="G592" s="7"/>
    </row>
    <row r="593">
      <c r="G593" s="7"/>
    </row>
    <row r="594">
      <c r="G594" s="7"/>
    </row>
    <row r="595">
      <c r="G595" s="7"/>
    </row>
    <row r="596">
      <c r="G596" s="7"/>
    </row>
    <row r="597">
      <c r="G597" s="7"/>
    </row>
    <row r="598">
      <c r="G598" s="7"/>
    </row>
    <row r="599">
      <c r="G599" s="7"/>
    </row>
    <row r="600">
      <c r="G600" s="7"/>
    </row>
    <row r="601">
      <c r="G601" s="7"/>
    </row>
    <row r="602">
      <c r="G602" s="7"/>
    </row>
    <row r="603">
      <c r="G603" s="7"/>
    </row>
    <row r="604">
      <c r="G604" s="7"/>
    </row>
    <row r="605">
      <c r="G605" s="7"/>
    </row>
    <row r="606">
      <c r="G606" s="7"/>
    </row>
    <row r="607">
      <c r="G607" s="7"/>
    </row>
    <row r="608">
      <c r="G608" s="7"/>
    </row>
    <row r="609">
      <c r="G609" s="7"/>
    </row>
    <row r="610">
      <c r="G610" s="7"/>
    </row>
    <row r="611">
      <c r="G611" s="7"/>
    </row>
    <row r="612">
      <c r="G612" s="7"/>
    </row>
    <row r="613">
      <c r="G613" s="7"/>
    </row>
    <row r="614">
      <c r="G614" s="7"/>
    </row>
    <row r="615">
      <c r="G615" s="7"/>
    </row>
    <row r="616">
      <c r="G616" s="7"/>
    </row>
    <row r="617">
      <c r="G617" s="7"/>
    </row>
    <row r="618">
      <c r="G618" s="7"/>
    </row>
    <row r="619">
      <c r="G619" s="7"/>
    </row>
    <row r="620">
      <c r="G620" s="7"/>
    </row>
    <row r="621">
      <c r="G621" s="7"/>
    </row>
    <row r="622">
      <c r="G622" s="7"/>
    </row>
    <row r="623">
      <c r="G623" s="7"/>
    </row>
    <row r="624">
      <c r="G624" s="7"/>
    </row>
    <row r="625">
      <c r="G625" s="7"/>
    </row>
    <row r="626">
      <c r="G626" s="7"/>
    </row>
    <row r="627">
      <c r="G627" s="7"/>
    </row>
    <row r="628">
      <c r="G628" s="7"/>
    </row>
    <row r="629">
      <c r="G629" s="7"/>
    </row>
    <row r="630">
      <c r="G630" s="7"/>
    </row>
    <row r="631">
      <c r="G631" s="7"/>
    </row>
    <row r="632">
      <c r="G632" s="7"/>
    </row>
    <row r="633">
      <c r="G633" s="7"/>
    </row>
    <row r="634">
      <c r="G634" s="7"/>
    </row>
    <row r="635">
      <c r="G635" s="7"/>
    </row>
    <row r="636">
      <c r="G636" s="7"/>
    </row>
    <row r="637">
      <c r="G637" s="7"/>
    </row>
    <row r="638">
      <c r="G638" s="7"/>
    </row>
    <row r="639">
      <c r="G639" s="7"/>
    </row>
    <row r="640">
      <c r="G640" s="7"/>
    </row>
    <row r="641">
      <c r="G641" s="7"/>
    </row>
    <row r="642">
      <c r="G642" s="7"/>
    </row>
    <row r="643">
      <c r="G643" s="7"/>
    </row>
    <row r="644">
      <c r="G644" s="7"/>
    </row>
    <row r="645">
      <c r="G645" s="7"/>
    </row>
    <row r="646">
      <c r="G646" s="7"/>
    </row>
    <row r="647">
      <c r="G647" s="7"/>
    </row>
    <row r="648">
      <c r="G648" s="7"/>
    </row>
    <row r="649">
      <c r="G649" s="7"/>
    </row>
    <row r="650">
      <c r="G650" s="7"/>
    </row>
    <row r="651">
      <c r="G651" s="7"/>
    </row>
    <row r="652">
      <c r="G652" s="7"/>
    </row>
    <row r="653">
      <c r="G653" s="7"/>
    </row>
    <row r="654">
      <c r="G654" s="7"/>
    </row>
    <row r="655">
      <c r="G655" s="7"/>
    </row>
    <row r="656">
      <c r="G656" s="7"/>
    </row>
    <row r="657">
      <c r="G657" s="7"/>
    </row>
    <row r="658">
      <c r="G658" s="7"/>
    </row>
    <row r="659">
      <c r="G659" s="7"/>
    </row>
    <row r="660">
      <c r="G660" s="7"/>
    </row>
    <row r="661">
      <c r="G661" s="7"/>
    </row>
    <row r="662">
      <c r="G662" s="7"/>
    </row>
    <row r="663">
      <c r="G663" s="7"/>
    </row>
    <row r="664">
      <c r="G664" s="7"/>
    </row>
    <row r="665">
      <c r="G665" s="7"/>
    </row>
    <row r="666">
      <c r="G666" s="7"/>
    </row>
    <row r="667">
      <c r="G667" s="7"/>
    </row>
    <row r="668">
      <c r="G668" s="7"/>
    </row>
    <row r="669">
      <c r="G669" s="7"/>
    </row>
    <row r="670">
      <c r="G670" s="7"/>
    </row>
    <row r="671">
      <c r="G671" s="7"/>
    </row>
    <row r="672">
      <c r="G672" s="7"/>
    </row>
    <row r="673">
      <c r="G673" s="7"/>
    </row>
    <row r="674">
      <c r="G674" s="7"/>
    </row>
    <row r="675">
      <c r="G675" s="7"/>
    </row>
    <row r="676">
      <c r="G676" s="7"/>
    </row>
    <row r="677">
      <c r="G677" s="7"/>
    </row>
    <row r="678">
      <c r="G678" s="7"/>
    </row>
    <row r="679">
      <c r="G679" s="7"/>
    </row>
    <row r="680">
      <c r="G680" s="7"/>
    </row>
    <row r="681">
      <c r="G681" s="7"/>
    </row>
    <row r="682">
      <c r="G682" s="7"/>
    </row>
    <row r="683">
      <c r="G683" s="7"/>
    </row>
    <row r="684">
      <c r="G684" s="7"/>
    </row>
    <row r="685">
      <c r="G685" s="7"/>
    </row>
    <row r="686">
      <c r="G686" s="7"/>
    </row>
    <row r="687">
      <c r="G687" s="7"/>
    </row>
    <row r="688">
      <c r="G688" s="7"/>
    </row>
    <row r="689">
      <c r="G689" s="7"/>
    </row>
    <row r="690">
      <c r="G690" s="7"/>
    </row>
    <row r="691">
      <c r="G691" s="7"/>
    </row>
    <row r="692">
      <c r="G692" s="7"/>
    </row>
    <row r="693">
      <c r="G693" s="7"/>
    </row>
    <row r="694">
      <c r="G694" s="7"/>
    </row>
    <row r="695">
      <c r="G695" s="7"/>
    </row>
    <row r="696">
      <c r="G696" s="7"/>
    </row>
    <row r="697">
      <c r="G697" s="7"/>
    </row>
    <row r="698">
      <c r="G698" s="7"/>
    </row>
    <row r="699">
      <c r="G699" s="7"/>
    </row>
    <row r="700">
      <c r="G700" s="7"/>
    </row>
    <row r="701">
      <c r="G701" s="7"/>
    </row>
    <row r="702">
      <c r="G702" s="7"/>
    </row>
    <row r="703">
      <c r="G703" s="7"/>
    </row>
    <row r="704">
      <c r="G704" s="7"/>
    </row>
    <row r="705">
      <c r="G705" s="7"/>
    </row>
    <row r="706">
      <c r="G706" s="7"/>
    </row>
    <row r="707">
      <c r="G707" s="7"/>
    </row>
    <row r="708">
      <c r="G708" s="7"/>
    </row>
    <row r="709">
      <c r="G709" s="7"/>
    </row>
    <row r="710">
      <c r="G710" s="7"/>
    </row>
    <row r="711">
      <c r="G711" s="7"/>
    </row>
    <row r="712">
      <c r="G712" s="7"/>
    </row>
    <row r="713">
      <c r="G713" s="7"/>
    </row>
    <row r="714">
      <c r="G714" s="7"/>
    </row>
    <row r="715">
      <c r="G715" s="7"/>
    </row>
    <row r="716">
      <c r="G716" s="7"/>
    </row>
    <row r="717">
      <c r="G717" s="7"/>
    </row>
    <row r="718">
      <c r="G718" s="7"/>
    </row>
    <row r="719">
      <c r="G719" s="7"/>
    </row>
    <row r="720">
      <c r="G720" s="7"/>
    </row>
    <row r="721">
      <c r="G721" s="7"/>
    </row>
    <row r="722">
      <c r="G722" s="7"/>
    </row>
    <row r="723">
      <c r="G723" s="7"/>
    </row>
    <row r="724">
      <c r="G724" s="7"/>
    </row>
    <row r="725">
      <c r="G725" s="7"/>
    </row>
    <row r="726">
      <c r="G726" s="7"/>
    </row>
    <row r="727">
      <c r="G727" s="7"/>
    </row>
    <row r="728">
      <c r="G728" s="7"/>
    </row>
    <row r="729">
      <c r="G729" s="7"/>
    </row>
    <row r="730">
      <c r="G730" s="7"/>
    </row>
    <row r="731">
      <c r="G731" s="7"/>
    </row>
    <row r="732">
      <c r="G732" s="7"/>
    </row>
    <row r="733">
      <c r="G733" s="7"/>
    </row>
    <row r="734">
      <c r="G734" s="7"/>
    </row>
    <row r="735">
      <c r="G735" s="7"/>
    </row>
    <row r="736">
      <c r="G736" s="7"/>
    </row>
    <row r="737">
      <c r="G737" s="7"/>
    </row>
    <row r="738">
      <c r="G738" s="7"/>
    </row>
    <row r="739">
      <c r="G739" s="7"/>
    </row>
    <row r="740">
      <c r="G740" s="7"/>
    </row>
    <row r="741">
      <c r="G741" s="7"/>
    </row>
    <row r="742">
      <c r="G742" s="7"/>
    </row>
    <row r="743">
      <c r="G743" s="7"/>
    </row>
    <row r="744">
      <c r="G744" s="7"/>
    </row>
    <row r="745">
      <c r="G745" s="7"/>
    </row>
    <row r="746">
      <c r="G746" s="7"/>
    </row>
    <row r="747">
      <c r="G747" s="7"/>
    </row>
    <row r="748">
      <c r="G748" s="7"/>
    </row>
    <row r="749">
      <c r="G749" s="7"/>
    </row>
    <row r="750">
      <c r="G750" s="7"/>
    </row>
    <row r="751">
      <c r="G751" s="7"/>
    </row>
    <row r="752">
      <c r="G752" s="7"/>
    </row>
    <row r="753">
      <c r="G753" s="7"/>
    </row>
    <row r="754">
      <c r="G754" s="7"/>
    </row>
    <row r="755">
      <c r="G755" s="7"/>
    </row>
    <row r="756">
      <c r="G756" s="7"/>
    </row>
    <row r="757">
      <c r="G757" s="7"/>
    </row>
    <row r="758">
      <c r="G758" s="7"/>
    </row>
    <row r="759">
      <c r="G759" s="7"/>
    </row>
    <row r="760">
      <c r="G760" s="7"/>
    </row>
    <row r="761">
      <c r="G761" s="7"/>
    </row>
    <row r="762">
      <c r="G762" s="7"/>
    </row>
    <row r="763">
      <c r="G763" s="7"/>
    </row>
    <row r="764">
      <c r="G764" s="7"/>
    </row>
    <row r="765">
      <c r="G765" s="7"/>
    </row>
    <row r="766">
      <c r="G766" s="7"/>
    </row>
    <row r="767">
      <c r="G767" s="7"/>
    </row>
    <row r="768">
      <c r="G768" s="7"/>
    </row>
    <row r="769">
      <c r="G769" s="7"/>
    </row>
    <row r="770">
      <c r="G770" s="7"/>
    </row>
    <row r="771">
      <c r="G771" s="7"/>
    </row>
    <row r="772">
      <c r="G772" s="7"/>
    </row>
    <row r="773">
      <c r="G773" s="7"/>
    </row>
    <row r="774">
      <c r="G774" s="7"/>
    </row>
    <row r="775">
      <c r="G775" s="7"/>
    </row>
    <row r="776">
      <c r="G776" s="7"/>
    </row>
    <row r="777">
      <c r="G777" s="7"/>
    </row>
    <row r="778">
      <c r="G778" s="7"/>
    </row>
    <row r="779">
      <c r="G779" s="7"/>
    </row>
    <row r="780">
      <c r="G780" s="7"/>
    </row>
    <row r="781">
      <c r="G781" s="7"/>
    </row>
    <row r="782">
      <c r="G782" s="7"/>
    </row>
    <row r="783">
      <c r="G783" s="7"/>
    </row>
    <row r="784">
      <c r="G784" s="7"/>
    </row>
    <row r="785">
      <c r="G785" s="7"/>
    </row>
    <row r="786">
      <c r="G786" s="7"/>
    </row>
    <row r="787">
      <c r="G787" s="7"/>
    </row>
    <row r="788">
      <c r="G788" s="7"/>
    </row>
    <row r="789">
      <c r="G789" s="7"/>
    </row>
    <row r="790">
      <c r="G790" s="7"/>
    </row>
    <row r="791">
      <c r="G791" s="7"/>
    </row>
    <row r="792">
      <c r="G792" s="7"/>
    </row>
    <row r="793">
      <c r="G793" s="7"/>
    </row>
    <row r="794">
      <c r="G794" s="7"/>
    </row>
    <row r="795">
      <c r="G795" s="7"/>
    </row>
    <row r="796">
      <c r="G796" s="7"/>
    </row>
    <row r="797">
      <c r="G797" s="7"/>
    </row>
    <row r="798">
      <c r="G798" s="7"/>
    </row>
    <row r="799">
      <c r="G799" s="7"/>
    </row>
    <row r="800">
      <c r="G800" s="7"/>
    </row>
    <row r="801">
      <c r="G801" s="7"/>
    </row>
    <row r="802">
      <c r="G802" s="7"/>
    </row>
    <row r="803">
      <c r="G803" s="7"/>
    </row>
    <row r="804">
      <c r="G804" s="7"/>
    </row>
    <row r="805">
      <c r="G805" s="7"/>
    </row>
    <row r="806">
      <c r="G806" s="7"/>
    </row>
    <row r="807">
      <c r="G807" s="7"/>
    </row>
    <row r="808">
      <c r="G808" s="7"/>
    </row>
    <row r="809">
      <c r="G809" s="7"/>
    </row>
    <row r="810">
      <c r="G810" s="7"/>
    </row>
    <row r="811">
      <c r="G811" s="7"/>
    </row>
    <row r="812">
      <c r="G812" s="7"/>
    </row>
    <row r="813">
      <c r="G813" s="7"/>
    </row>
    <row r="814">
      <c r="G814" s="7"/>
    </row>
    <row r="815">
      <c r="G815" s="7"/>
    </row>
    <row r="816">
      <c r="G816" s="7"/>
    </row>
    <row r="817">
      <c r="G817" s="7"/>
    </row>
    <row r="818">
      <c r="G818" s="7"/>
    </row>
    <row r="819">
      <c r="G819" s="7"/>
    </row>
    <row r="820">
      <c r="G820" s="7"/>
    </row>
    <row r="821">
      <c r="G821" s="7"/>
    </row>
    <row r="822">
      <c r="G822" s="7"/>
    </row>
    <row r="823">
      <c r="G823" s="7"/>
    </row>
    <row r="824">
      <c r="G824" s="7"/>
    </row>
    <row r="825">
      <c r="G825" s="7"/>
    </row>
    <row r="826">
      <c r="G826" s="7"/>
    </row>
    <row r="827">
      <c r="G827" s="7"/>
    </row>
    <row r="828">
      <c r="G828" s="7"/>
    </row>
    <row r="829">
      <c r="G829" s="7"/>
    </row>
    <row r="830">
      <c r="G830" s="7"/>
    </row>
    <row r="831">
      <c r="G831" s="7"/>
    </row>
    <row r="832">
      <c r="G832" s="7"/>
    </row>
    <row r="833">
      <c r="G833" s="7"/>
    </row>
    <row r="834">
      <c r="G834" s="7"/>
    </row>
    <row r="835">
      <c r="G835" s="7"/>
    </row>
    <row r="836">
      <c r="G836" s="7"/>
    </row>
    <row r="837">
      <c r="G837" s="7"/>
    </row>
    <row r="838">
      <c r="G838" s="7"/>
    </row>
    <row r="839">
      <c r="G839" s="7"/>
    </row>
    <row r="840">
      <c r="G840" s="7"/>
    </row>
    <row r="841">
      <c r="G841" s="7"/>
    </row>
    <row r="842">
      <c r="G842" s="7"/>
    </row>
    <row r="843">
      <c r="G843" s="7"/>
    </row>
    <row r="844">
      <c r="G844" s="7"/>
    </row>
    <row r="845">
      <c r="G845" s="7"/>
    </row>
    <row r="846">
      <c r="G846" s="7"/>
    </row>
    <row r="847">
      <c r="G847" s="7"/>
    </row>
    <row r="848">
      <c r="G848" s="7"/>
    </row>
    <row r="849">
      <c r="G849" s="7"/>
    </row>
    <row r="850">
      <c r="G850" s="7"/>
    </row>
    <row r="851">
      <c r="G851" s="7"/>
    </row>
    <row r="852">
      <c r="G852" s="7"/>
    </row>
    <row r="853">
      <c r="G853" s="7"/>
    </row>
    <row r="854">
      <c r="G854" s="7"/>
    </row>
    <row r="855">
      <c r="G855" s="7"/>
    </row>
    <row r="856">
      <c r="G856" s="7"/>
    </row>
    <row r="857">
      <c r="G857" s="7"/>
    </row>
    <row r="858">
      <c r="G858" s="7"/>
    </row>
    <row r="859">
      <c r="G859" s="7"/>
    </row>
    <row r="860">
      <c r="G860" s="7"/>
    </row>
    <row r="861">
      <c r="G861" s="7"/>
    </row>
    <row r="862">
      <c r="G862" s="7"/>
    </row>
    <row r="863">
      <c r="G863" s="7"/>
    </row>
    <row r="864">
      <c r="G864" s="7"/>
    </row>
    <row r="865">
      <c r="G865" s="7"/>
    </row>
    <row r="866">
      <c r="G866" s="7"/>
    </row>
    <row r="867">
      <c r="G867" s="7"/>
    </row>
    <row r="868">
      <c r="G868" s="7"/>
    </row>
    <row r="869">
      <c r="G869" s="7"/>
    </row>
    <row r="870">
      <c r="G870" s="7"/>
    </row>
    <row r="871">
      <c r="G871" s="7"/>
    </row>
    <row r="872">
      <c r="G872" s="7"/>
    </row>
    <row r="873">
      <c r="G873" s="7"/>
    </row>
    <row r="874">
      <c r="G874" s="7"/>
    </row>
    <row r="875">
      <c r="G875" s="7"/>
    </row>
    <row r="876">
      <c r="G876" s="7"/>
    </row>
    <row r="877">
      <c r="G877" s="7"/>
    </row>
    <row r="878">
      <c r="G878" s="7"/>
    </row>
    <row r="879">
      <c r="G879" s="7"/>
    </row>
    <row r="880">
      <c r="G880" s="7"/>
    </row>
    <row r="881">
      <c r="G881" s="7"/>
    </row>
    <row r="882">
      <c r="G882" s="7"/>
    </row>
    <row r="883">
      <c r="G883" s="7"/>
    </row>
    <row r="884">
      <c r="G884" s="7"/>
    </row>
    <row r="885">
      <c r="G885" s="7"/>
    </row>
    <row r="886">
      <c r="G886" s="7"/>
    </row>
    <row r="887">
      <c r="G887" s="7"/>
    </row>
    <row r="888">
      <c r="G888" s="7"/>
    </row>
    <row r="889">
      <c r="G889" s="7"/>
    </row>
    <row r="890">
      <c r="G890" s="7"/>
    </row>
    <row r="891">
      <c r="G891" s="7"/>
    </row>
    <row r="892">
      <c r="G892" s="7"/>
    </row>
    <row r="893">
      <c r="G893" s="7"/>
    </row>
    <row r="894">
      <c r="G894" s="7"/>
    </row>
    <row r="895">
      <c r="G895" s="7"/>
    </row>
    <row r="896">
      <c r="G896" s="7"/>
    </row>
    <row r="897">
      <c r="G897" s="7"/>
    </row>
    <row r="898">
      <c r="G898" s="7"/>
    </row>
    <row r="899">
      <c r="G899" s="7"/>
    </row>
    <row r="900">
      <c r="G900" s="7"/>
    </row>
    <row r="901">
      <c r="G901" s="7"/>
    </row>
    <row r="902">
      <c r="G902" s="7"/>
    </row>
    <row r="903">
      <c r="G903" s="7"/>
    </row>
    <row r="904">
      <c r="G904" s="7"/>
    </row>
    <row r="905">
      <c r="G905" s="7"/>
    </row>
    <row r="906">
      <c r="G906" s="7"/>
    </row>
    <row r="907">
      <c r="G907" s="7"/>
    </row>
    <row r="908">
      <c r="G908" s="7"/>
    </row>
    <row r="909">
      <c r="G909" s="7"/>
    </row>
    <row r="910">
      <c r="G910" s="7"/>
    </row>
    <row r="911">
      <c r="G911" s="7"/>
    </row>
    <row r="912">
      <c r="G912" s="7"/>
    </row>
    <row r="913">
      <c r="G913" s="7"/>
    </row>
    <row r="914">
      <c r="G914" s="7"/>
    </row>
    <row r="915">
      <c r="G915" s="7"/>
    </row>
    <row r="916">
      <c r="G916" s="7"/>
    </row>
    <row r="917">
      <c r="G917" s="7"/>
    </row>
    <row r="918">
      <c r="G918" s="7"/>
    </row>
    <row r="919">
      <c r="G919" s="7"/>
    </row>
    <row r="920">
      <c r="G920" s="7"/>
    </row>
    <row r="921">
      <c r="G921" s="7"/>
    </row>
    <row r="922">
      <c r="G922" s="7"/>
    </row>
    <row r="923">
      <c r="G923" s="7"/>
    </row>
    <row r="924">
      <c r="G924" s="7"/>
    </row>
    <row r="925">
      <c r="G925" s="7"/>
    </row>
    <row r="926">
      <c r="G926" s="7"/>
    </row>
    <row r="927">
      <c r="G927" s="7"/>
    </row>
    <row r="928">
      <c r="G928" s="7"/>
    </row>
    <row r="929">
      <c r="G929" s="7"/>
    </row>
    <row r="930">
      <c r="G930" s="7"/>
    </row>
    <row r="931">
      <c r="G931" s="7"/>
    </row>
    <row r="932">
      <c r="G932" s="7"/>
    </row>
    <row r="933">
      <c r="G933" s="7"/>
    </row>
    <row r="934">
      <c r="G934" s="7"/>
    </row>
    <row r="935">
      <c r="G935" s="7"/>
    </row>
    <row r="936">
      <c r="G936" s="7"/>
    </row>
    <row r="937">
      <c r="G937" s="7"/>
    </row>
    <row r="938">
      <c r="G938" s="7"/>
    </row>
    <row r="939">
      <c r="G939" s="7"/>
    </row>
    <row r="940">
      <c r="G940" s="7"/>
    </row>
    <row r="941">
      <c r="G941" s="7"/>
    </row>
    <row r="942">
      <c r="G942" s="7"/>
    </row>
    <row r="943">
      <c r="G943" s="7"/>
    </row>
    <row r="944">
      <c r="G944" s="7"/>
    </row>
    <row r="945">
      <c r="G945" s="7"/>
    </row>
    <row r="946">
      <c r="G946" s="7"/>
    </row>
    <row r="947">
      <c r="G947" s="7"/>
    </row>
    <row r="948">
      <c r="G948" s="7"/>
    </row>
    <row r="949">
      <c r="G949" s="7"/>
    </row>
    <row r="950">
      <c r="G950" s="7"/>
    </row>
    <row r="951">
      <c r="G951" s="7"/>
    </row>
    <row r="952">
      <c r="G952" s="7"/>
    </row>
    <row r="953">
      <c r="G953" s="7"/>
    </row>
    <row r="954">
      <c r="G954" s="7"/>
    </row>
    <row r="955">
      <c r="G955" s="7"/>
    </row>
    <row r="956">
      <c r="G956" s="7"/>
    </row>
    <row r="957">
      <c r="G957" s="7"/>
    </row>
    <row r="958">
      <c r="G958" s="7"/>
    </row>
    <row r="959">
      <c r="G959" s="7"/>
    </row>
    <row r="960">
      <c r="G960" s="7"/>
    </row>
    <row r="961">
      <c r="G961" s="7"/>
    </row>
    <row r="962">
      <c r="G962" s="7"/>
    </row>
    <row r="963">
      <c r="G963" s="7"/>
    </row>
    <row r="964">
      <c r="G964" s="7"/>
    </row>
    <row r="965">
      <c r="G965" s="7"/>
    </row>
    <row r="966">
      <c r="G966" s="7"/>
    </row>
    <row r="967">
      <c r="G967" s="7"/>
    </row>
    <row r="968">
      <c r="G968" s="7"/>
    </row>
    <row r="969">
      <c r="G969" s="7"/>
    </row>
    <row r="970">
      <c r="G970" s="7"/>
    </row>
    <row r="971">
      <c r="G971" s="7"/>
    </row>
    <row r="972">
      <c r="G972" s="7"/>
    </row>
    <row r="973">
      <c r="G973" s="7"/>
    </row>
    <row r="974">
      <c r="G974" s="7"/>
    </row>
    <row r="975">
      <c r="G975" s="7"/>
    </row>
    <row r="976">
      <c r="G976" s="7"/>
    </row>
    <row r="977">
      <c r="G977" s="7"/>
    </row>
    <row r="978">
      <c r="G978" s="7"/>
    </row>
    <row r="979">
      <c r="G979" s="7"/>
    </row>
    <row r="980">
      <c r="G980" s="7"/>
    </row>
    <row r="981">
      <c r="G981" s="7"/>
    </row>
    <row r="982">
      <c r="G982" s="7"/>
    </row>
    <row r="983">
      <c r="G983" s="7"/>
    </row>
    <row r="984">
      <c r="G984" s="7"/>
    </row>
    <row r="985">
      <c r="G985" s="7"/>
    </row>
    <row r="986">
      <c r="G986" s="7"/>
    </row>
    <row r="987">
      <c r="G987" s="7"/>
    </row>
    <row r="988">
      <c r="G988" s="7"/>
    </row>
    <row r="989">
      <c r="G989" s="7"/>
    </row>
    <row r="990">
      <c r="G990" s="7"/>
    </row>
    <row r="991">
      <c r="G991" s="7"/>
    </row>
    <row r="992">
      <c r="G992" s="7"/>
    </row>
    <row r="993">
      <c r="G993" s="7"/>
    </row>
    <row r="994">
      <c r="G994" s="7"/>
    </row>
    <row r="995">
      <c r="G995" s="7"/>
    </row>
    <row r="996">
      <c r="G996" s="7"/>
    </row>
    <row r="997">
      <c r="G997" s="7"/>
    </row>
    <row r="998">
      <c r="G998" s="7"/>
    </row>
    <row r="999">
      <c r="G999" s="7"/>
    </row>
    <row r="1000">
      <c r="G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33</v>
      </c>
      <c r="B1" s="24"/>
      <c r="C1" s="24"/>
      <c r="D1" s="24"/>
      <c r="E1" s="27"/>
      <c r="F1" s="24"/>
      <c r="G1" s="24"/>
      <c r="H1" s="24"/>
      <c r="I1" s="24"/>
      <c r="J1" s="24"/>
      <c r="K1" s="26" t="s">
        <v>34</v>
      </c>
      <c r="L1" s="24"/>
      <c r="M1" s="24"/>
      <c r="N1" s="24"/>
      <c r="O1" s="24"/>
      <c r="P1" s="24"/>
      <c r="Q1" s="24"/>
      <c r="R1" s="24"/>
      <c r="S1" s="24"/>
      <c r="T1" s="24"/>
      <c r="U1" s="26" t="s">
        <v>35</v>
      </c>
      <c r="V1" s="24"/>
      <c r="W1" s="24"/>
      <c r="X1" s="24"/>
      <c r="Y1" s="24"/>
    </row>
    <row r="2">
      <c r="A2" s="16" t="s">
        <v>14</v>
      </c>
      <c r="B2" s="16" t="s">
        <v>1</v>
      </c>
      <c r="C2" s="16" t="s">
        <v>2</v>
      </c>
      <c r="D2" s="16" t="s">
        <v>3</v>
      </c>
      <c r="E2" s="28" t="s">
        <v>4</v>
      </c>
      <c r="F2" s="29" t="s">
        <v>15</v>
      </c>
      <c r="G2" s="29" t="s">
        <v>16</v>
      </c>
      <c r="H2" s="29" t="s">
        <v>11</v>
      </c>
      <c r="I2" s="29" t="s">
        <v>12</v>
      </c>
      <c r="J2" s="24"/>
      <c r="K2" s="16" t="s">
        <v>14</v>
      </c>
      <c r="L2" s="16" t="s">
        <v>1</v>
      </c>
      <c r="M2" s="16" t="s">
        <v>2</v>
      </c>
      <c r="N2" s="16" t="s">
        <v>3</v>
      </c>
      <c r="O2" s="16" t="s">
        <v>4</v>
      </c>
      <c r="P2" s="29" t="s">
        <v>15</v>
      </c>
      <c r="Q2" s="29" t="s">
        <v>16</v>
      </c>
      <c r="R2" s="29" t="s">
        <v>11</v>
      </c>
      <c r="S2" s="29" t="s">
        <v>12</v>
      </c>
      <c r="T2" s="24"/>
      <c r="U2" s="16" t="s">
        <v>14</v>
      </c>
      <c r="V2" s="16" t="s">
        <v>1</v>
      </c>
      <c r="W2" s="16" t="s">
        <v>2</v>
      </c>
      <c r="X2" s="16" t="s">
        <v>3</v>
      </c>
      <c r="Y2" s="16" t="s">
        <v>4</v>
      </c>
      <c r="Z2" s="29" t="s">
        <v>15</v>
      </c>
      <c r="AA2" s="29" t="s">
        <v>16</v>
      </c>
      <c r="AB2" s="29" t="s">
        <v>11</v>
      </c>
      <c r="AC2" s="29" t="s">
        <v>12</v>
      </c>
    </row>
    <row r="3">
      <c r="A3" s="22" t="s">
        <v>19</v>
      </c>
      <c r="B3" s="1">
        <v>2842.0</v>
      </c>
      <c r="C3" s="1">
        <v>3593.0</v>
      </c>
      <c r="D3" s="1">
        <v>1.8866045E7</v>
      </c>
      <c r="E3" s="30">
        <v>9389215.0</v>
      </c>
      <c r="F3" s="21">
        <f t="shared" ref="F3:F16" si="2">B3/$B$3</f>
        <v>1</v>
      </c>
      <c r="G3" s="31">
        <f t="shared" ref="G3:G16" si="3">D3/B3</f>
        <v>6638.298733</v>
      </c>
      <c r="H3" s="27">
        <f t="shared" ref="H3:I3" si="1">C3/B3</f>
        <v>1.264250528</v>
      </c>
      <c r="I3" s="31">
        <f t="shared" si="1"/>
        <v>5250.777901</v>
      </c>
      <c r="J3" s="24"/>
      <c r="K3" s="32"/>
      <c r="L3" s="5"/>
      <c r="M3" s="5"/>
      <c r="N3" s="1">
        <v>0.0</v>
      </c>
      <c r="O3" s="1">
        <v>0.0</v>
      </c>
      <c r="P3" s="24"/>
      <c r="Q3" s="24"/>
      <c r="R3" s="24"/>
      <c r="S3" s="24"/>
      <c r="T3" s="24"/>
      <c r="U3" s="32"/>
      <c r="V3" s="5"/>
      <c r="W3" s="5"/>
      <c r="X3" s="1">
        <v>0.0</v>
      </c>
      <c r="Y3" s="1">
        <v>0.0</v>
      </c>
    </row>
    <row r="4">
      <c r="A4" s="22" t="s">
        <v>20</v>
      </c>
      <c r="B4" s="1">
        <v>529.0</v>
      </c>
      <c r="C4" s="1">
        <v>818.0</v>
      </c>
      <c r="D4" s="1">
        <v>4377010.0</v>
      </c>
      <c r="E4" s="30">
        <v>2173325.0</v>
      </c>
      <c r="F4" s="21">
        <f t="shared" si="2"/>
        <v>0.1861365236</v>
      </c>
      <c r="G4" s="31">
        <f t="shared" si="3"/>
        <v>8274.120983</v>
      </c>
      <c r="H4" s="27">
        <f t="shared" ref="H4:I4" si="4">C4/B4</f>
        <v>1.5463138</v>
      </c>
      <c r="I4" s="31">
        <f t="shared" si="4"/>
        <v>5350.867971</v>
      </c>
      <c r="J4" s="24"/>
      <c r="K4" s="22" t="s">
        <v>20</v>
      </c>
      <c r="L4" s="1">
        <v>6161.0</v>
      </c>
      <c r="M4" s="1">
        <v>7980.0</v>
      </c>
      <c r="N4" s="1">
        <v>5.0815985E7</v>
      </c>
      <c r="O4" s="1">
        <v>2.616405E7</v>
      </c>
      <c r="P4" s="21">
        <f t="shared" ref="P4:P16" si="7">L4/$L$4</f>
        <v>1</v>
      </c>
      <c r="Q4" s="31">
        <f t="shared" ref="Q4:Q16" si="8">N4/L4</f>
        <v>8248.009252</v>
      </c>
      <c r="R4" s="27">
        <f t="shared" ref="R4:S4" si="5">M4/L4</f>
        <v>1.295244279</v>
      </c>
      <c r="S4" s="31">
        <f t="shared" si="5"/>
        <v>6367.91792</v>
      </c>
      <c r="T4" s="24"/>
      <c r="U4" s="32"/>
      <c r="V4" s="5"/>
      <c r="W4" s="5"/>
      <c r="X4" s="1">
        <v>0.0</v>
      </c>
      <c r="Y4" s="1">
        <v>0.0</v>
      </c>
    </row>
    <row r="5">
      <c r="A5" s="22" t="s">
        <v>21</v>
      </c>
      <c r="B5" s="1">
        <v>237.0</v>
      </c>
      <c r="C5" s="1">
        <v>325.0</v>
      </c>
      <c r="D5" s="1">
        <v>1908940.0</v>
      </c>
      <c r="E5" s="30">
        <v>942755.0</v>
      </c>
      <c r="F5" s="21">
        <f t="shared" si="2"/>
        <v>0.08339197748</v>
      </c>
      <c r="G5" s="31">
        <f t="shared" si="3"/>
        <v>8054.599156</v>
      </c>
      <c r="H5" s="27">
        <f t="shared" ref="H5:I5" si="6">C5/B5</f>
        <v>1.371308017</v>
      </c>
      <c r="I5" s="31">
        <f t="shared" si="6"/>
        <v>5873.661538</v>
      </c>
      <c r="J5" s="24"/>
      <c r="K5" s="22" t="s">
        <v>21</v>
      </c>
      <c r="L5" s="1">
        <v>619.0</v>
      </c>
      <c r="M5" s="1">
        <v>939.0</v>
      </c>
      <c r="N5" s="1">
        <v>5396435.0</v>
      </c>
      <c r="O5" s="1">
        <v>2596110.0</v>
      </c>
      <c r="P5" s="21">
        <f t="shared" si="7"/>
        <v>0.1004707028</v>
      </c>
      <c r="Q5" s="31">
        <f t="shared" si="8"/>
        <v>8717.988691</v>
      </c>
      <c r="R5" s="27">
        <f t="shared" ref="R5:S5" si="9">M5/L5</f>
        <v>1.516962843</v>
      </c>
      <c r="S5" s="31">
        <f t="shared" si="9"/>
        <v>5747.00213</v>
      </c>
      <c r="T5" s="24"/>
      <c r="U5" s="32"/>
      <c r="V5" s="5"/>
      <c r="W5" s="5"/>
      <c r="X5" s="1">
        <v>0.0</v>
      </c>
      <c r="Y5" s="1">
        <v>0.0</v>
      </c>
    </row>
    <row r="6">
      <c r="A6" s="22" t="s">
        <v>22</v>
      </c>
      <c r="B6" s="1">
        <v>318.0</v>
      </c>
      <c r="C6" s="1">
        <v>467.0</v>
      </c>
      <c r="D6" s="1">
        <v>2357300.0</v>
      </c>
      <c r="E6" s="30">
        <v>1154450.0</v>
      </c>
      <c r="F6" s="21">
        <f t="shared" si="2"/>
        <v>0.1118930331</v>
      </c>
      <c r="G6" s="31">
        <f t="shared" si="3"/>
        <v>7412.893082</v>
      </c>
      <c r="H6" s="27">
        <f t="shared" ref="H6:I6" si="10">C6/B6</f>
        <v>1.468553459</v>
      </c>
      <c r="I6" s="31">
        <f t="shared" si="10"/>
        <v>5047.751606</v>
      </c>
      <c r="J6" s="24"/>
      <c r="K6" s="22" t="s">
        <v>22</v>
      </c>
      <c r="L6" s="1">
        <v>546.0</v>
      </c>
      <c r="M6" s="1">
        <v>855.0</v>
      </c>
      <c r="N6" s="1">
        <v>4014505.0</v>
      </c>
      <c r="O6" s="1">
        <v>1990010.0</v>
      </c>
      <c r="P6" s="21">
        <f t="shared" si="7"/>
        <v>0.08862197695</v>
      </c>
      <c r="Q6" s="31">
        <f t="shared" si="8"/>
        <v>7352.57326</v>
      </c>
      <c r="R6" s="27">
        <f t="shared" ref="R6:S6" si="11">M6/L6</f>
        <v>1.565934066</v>
      </c>
      <c r="S6" s="31">
        <f t="shared" si="11"/>
        <v>4695.327485</v>
      </c>
      <c r="T6" s="24"/>
      <c r="U6" s="32"/>
      <c r="V6" s="5"/>
      <c r="W6" s="5"/>
      <c r="X6" s="1">
        <v>0.0</v>
      </c>
      <c r="Y6" s="1">
        <v>0.0</v>
      </c>
    </row>
    <row r="7">
      <c r="A7" s="22" t="s">
        <v>23</v>
      </c>
      <c r="B7" s="1">
        <v>317.0</v>
      </c>
      <c r="C7" s="1">
        <v>468.0</v>
      </c>
      <c r="D7" s="1">
        <v>2213530.0</v>
      </c>
      <c r="E7" s="30">
        <v>1063370.0</v>
      </c>
      <c r="F7" s="21">
        <f t="shared" si="2"/>
        <v>0.1115411682</v>
      </c>
      <c r="G7" s="31">
        <f t="shared" si="3"/>
        <v>6982.744479</v>
      </c>
      <c r="H7" s="27">
        <f t="shared" ref="H7:I7" si="12">C7/B7</f>
        <v>1.476340694</v>
      </c>
      <c r="I7" s="31">
        <f t="shared" si="12"/>
        <v>4729.764957</v>
      </c>
      <c r="J7" s="24"/>
      <c r="K7" s="22" t="s">
        <v>23</v>
      </c>
      <c r="L7" s="1">
        <v>451.0</v>
      </c>
      <c r="M7" s="1">
        <v>696.0</v>
      </c>
      <c r="N7" s="1">
        <v>3515930.0</v>
      </c>
      <c r="O7" s="1">
        <v>1742015.0</v>
      </c>
      <c r="P7" s="21">
        <f t="shared" si="7"/>
        <v>0.07320240221</v>
      </c>
      <c r="Q7" s="31">
        <f t="shared" si="8"/>
        <v>7795.853659</v>
      </c>
      <c r="R7" s="27">
        <f t="shared" ref="R7:S7" si="13">M7/L7</f>
        <v>1.543237251</v>
      </c>
      <c r="S7" s="31">
        <f t="shared" si="13"/>
        <v>5051.623563</v>
      </c>
      <c r="T7" s="24"/>
      <c r="U7" s="32"/>
      <c r="V7" s="5"/>
      <c r="W7" s="5"/>
      <c r="X7" s="1">
        <v>0.0</v>
      </c>
      <c r="Y7" s="1">
        <v>0.0</v>
      </c>
    </row>
    <row r="8">
      <c r="A8" s="22" t="s">
        <v>24</v>
      </c>
      <c r="B8" s="1">
        <v>366.0</v>
      </c>
      <c r="C8" s="1">
        <v>615.0</v>
      </c>
      <c r="D8" s="1">
        <v>3017685.0</v>
      </c>
      <c r="E8" s="30">
        <v>1435610.0</v>
      </c>
      <c r="F8" s="21">
        <f t="shared" si="2"/>
        <v>0.1287825475</v>
      </c>
      <c r="G8" s="31">
        <f t="shared" si="3"/>
        <v>8245.040984</v>
      </c>
      <c r="H8" s="27">
        <f t="shared" ref="H8:I8" si="14">C8/B8</f>
        <v>1.680327869</v>
      </c>
      <c r="I8" s="31">
        <f t="shared" si="14"/>
        <v>4906.804878</v>
      </c>
      <c r="J8" s="24"/>
      <c r="K8" s="22" t="s">
        <v>24</v>
      </c>
      <c r="L8" s="1">
        <v>939.0</v>
      </c>
      <c r="M8" s="1">
        <v>1579.0</v>
      </c>
      <c r="N8" s="1">
        <v>8754185.0</v>
      </c>
      <c r="O8" s="1">
        <v>4264700.0</v>
      </c>
      <c r="P8" s="21">
        <f t="shared" si="7"/>
        <v>0.152410323</v>
      </c>
      <c r="Q8" s="31">
        <f t="shared" si="8"/>
        <v>9322.880724</v>
      </c>
      <c r="R8" s="27">
        <f t="shared" ref="R8:S8" si="15">M8/L8</f>
        <v>1.681576145</v>
      </c>
      <c r="S8" s="31">
        <f t="shared" si="15"/>
        <v>5544.132362</v>
      </c>
      <c r="T8" s="24"/>
      <c r="U8" s="22" t="s">
        <v>24</v>
      </c>
      <c r="V8" s="1">
        <v>5881.0</v>
      </c>
      <c r="W8" s="1">
        <v>7651.0</v>
      </c>
      <c r="X8" s="1">
        <v>4.608989E7</v>
      </c>
      <c r="Y8" s="1">
        <v>2.257783E7</v>
      </c>
      <c r="Z8" s="8">
        <f t="shared" ref="Z8:Z16" si="19">V8/$V$8</f>
        <v>1</v>
      </c>
      <c r="AA8" s="7">
        <f t="shared" ref="AA8:AA16" si="20">X8/V8</f>
        <v>7837.083829</v>
      </c>
      <c r="AB8" s="9">
        <f t="shared" ref="AB8:AC8" si="16">W8/V8</f>
        <v>1.300969223</v>
      </c>
      <c r="AC8" s="7">
        <f t="shared" si="16"/>
        <v>6024.034767</v>
      </c>
    </row>
    <row r="9">
      <c r="A9" s="22" t="s">
        <v>25</v>
      </c>
      <c r="B9" s="1">
        <v>234.0</v>
      </c>
      <c r="C9" s="1">
        <v>339.0</v>
      </c>
      <c r="D9" s="1">
        <v>1575365.0</v>
      </c>
      <c r="E9" s="30">
        <v>740795.0</v>
      </c>
      <c r="F9" s="21">
        <f t="shared" si="2"/>
        <v>0.08233638283</v>
      </c>
      <c r="G9" s="31">
        <f t="shared" si="3"/>
        <v>6732.32906</v>
      </c>
      <c r="H9" s="27">
        <f t="shared" ref="H9:I9" si="17">C9/B9</f>
        <v>1.448717949</v>
      </c>
      <c r="I9" s="31">
        <f t="shared" si="17"/>
        <v>4647.094395</v>
      </c>
      <c r="J9" s="24"/>
      <c r="K9" s="22" t="s">
        <v>25</v>
      </c>
      <c r="L9" s="1">
        <v>418.0</v>
      </c>
      <c r="M9" s="1">
        <v>687.0</v>
      </c>
      <c r="N9" s="1">
        <v>3430020.0</v>
      </c>
      <c r="O9" s="1">
        <v>1596375.0</v>
      </c>
      <c r="P9" s="21">
        <f t="shared" si="7"/>
        <v>0.06784612888</v>
      </c>
      <c r="Q9" s="31">
        <f t="shared" si="8"/>
        <v>8205.789474</v>
      </c>
      <c r="R9" s="27">
        <f t="shared" ref="R9:S9" si="18">M9/L9</f>
        <v>1.64354067</v>
      </c>
      <c r="S9" s="31">
        <f t="shared" si="18"/>
        <v>4992.751092</v>
      </c>
      <c r="T9" s="24"/>
      <c r="U9" s="22" t="s">
        <v>25</v>
      </c>
      <c r="V9" s="1">
        <v>690.0</v>
      </c>
      <c r="W9" s="1">
        <v>1011.0</v>
      </c>
      <c r="X9" s="1">
        <v>5531845.0</v>
      </c>
      <c r="Y9" s="1">
        <v>2540340.0</v>
      </c>
      <c r="Z9" s="8">
        <f t="shared" si="19"/>
        <v>0.1173269852</v>
      </c>
      <c r="AA9" s="7">
        <f t="shared" si="20"/>
        <v>8017.166667</v>
      </c>
      <c r="AB9" s="9">
        <f t="shared" ref="AB9:AC9" si="21">W9/V9</f>
        <v>1.465217391</v>
      </c>
      <c r="AC9" s="7">
        <f t="shared" si="21"/>
        <v>5471.656775</v>
      </c>
    </row>
    <row r="10">
      <c r="A10" s="22" t="s">
        <v>26</v>
      </c>
      <c r="B10" s="1">
        <v>254.0</v>
      </c>
      <c r="C10" s="1">
        <v>408.0</v>
      </c>
      <c r="D10" s="1">
        <v>1804770.0</v>
      </c>
      <c r="E10" s="30">
        <v>868560.0</v>
      </c>
      <c r="F10" s="21">
        <f t="shared" si="2"/>
        <v>0.08937368051</v>
      </c>
      <c r="G10" s="31">
        <f t="shared" si="3"/>
        <v>7105.393701</v>
      </c>
      <c r="H10" s="27">
        <f t="shared" ref="H10:I10" si="22">C10/B10</f>
        <v>1.606299213</v>
      </c>
      <c r="I10" s="31">
        <f t="shared" si="22"/>
        <v>4423.455882</v>
      </c>
      <c r="J10" s="24"/>
      <c r="K10" s="22" t="s">
        <v>26</v>
      </c>
      <c r="L10" s="1">
        <v>442.0</v>
      </c>
      <c r="M10" s="1">
        <v>738.0</v>
      </c>
      <c r="N10" s="1">
        <v>3375460.0</v>
      </c>
      <c r="O10" s="1">
        <v>1614635.0</v>
      </c>
      <c r="P10" s="21">
        <f t="shared" si="7"/>
        <v>0.07174160039</v>
      </c>
      <c r="Q10" s="31">
        <f t="shared" si="8"/>
        <v>7636.78733</v>
      </c>
      <c r="R10" s="27">
        <f t="shared" ref="R10:S10" si="23">M10/L10</f>
        <v>1.669683258</v>
      </c>
      <c r="S10" s="31">
        <f t="shared" si="23"/>
        <v>4573.794038</v>
      </c>
      <c r="T10" s="24"/>
      <c r="U10" s="22" t="s">
        <v>26</v>
      </c>
      <c r="V10" s="1">
        <v>473.0</v>
      </c>
      <c r="W10" s="1">
        <v>675.0</v>
      </c>
      <c r="X10" s="1">
        <v>3571370.0</v>
      </c>
      <c r="Y10" s="1">
        <v>1677170.0</v>
      </c>
      <c r="Z10" s="8">
        <f t="shared" si="19"/>
        <v>0.08042849855</v>
      </c>
      <c r="AA10" s="7">
        <f t="shared" si="20"/>
        <v>7550.465116</v>
      </c>
      <c r="AB10" s="9">
        <f t="shared" ref="AB10:AC10" si="24">W10/V10</f>
        <v>1.427061311</v>
      </c>
      <c r="AC10" s="7">
        <f t="shared" si="24"/>
        <v>5290.918519</v>
      </c>
    </row>
    <row r="11">
      <c r="A11" s="22" t="s">
        <v>27</v>
      </c>
      <c r="B11" s="1">
        <v>269.0</v>
      </c>
      <c r="C11" s="1">
        <v>385.0</v>
      </c>
      <c r="D11" s="1">
        <v>1582735.0</v>
      </c>
      <c r="E11" s="30">
        <v>742940.0</v>
      </c>
      <c r="F11" s="21">
        <f t="shared" si="2"/>
        <v>0.09465165376</v>
      </c>
      <c r="G11" s="31">
        <f t="shared" si="3"/>
        <v>5883.773234</v>
      </c>
      <c r="H11" s="27">
        <f t="shared" ref="H11:I11" si="25">C11/B11</f>
        <v>1.431226766</v>
      </c>
      <c r="I11" s="31">
        <f t="shared" si="25"/>
        <v>4111</v>
      </c>
      <c r="J11" s="24"/>
      <c r="K11" s="22" t="s">
        <v>27</v>
      </c>
      <c r="L11" s="1">
        <v>430.0</v>
      </c>
      <c r="M11" s="1">
        <v>731.0</v>
      </c>
      <c r="N11" s="1">
        <v>3476385.0</v>
      </c>
      <c r="O11" s="1">
        <v>1640210.0</v>
      </c>
      <c r="P11" s="21">
        <f t="shared" si="7"/>
        <v>0.06979386463</v>
      </c>
      <c r="Q11" s="31">
        <f t="shared" si="8"/>
        <v>8084.616279</v>
      </c>
      <c r="R11" s="27">
        <f t="shared" ref="R11:S11" si="26">M11/L11</f>
        <v>1.7</v>
      </c>
      <c r="S11" s="31">
        <f t="shared" si="26"/>
        <v>4755.656635</v>
      </c>
      <c r="T11" s="24"/>
      <c r="U11" s="22" t="s">
        <v>27</v>
      </c>
      <c r="V11" s="1">
        <v>420.0</v>
      </c>
      <c r="W11" s="1">
        <v>601.0</v>
      </c>
      <c r="X11" s="1">
        <v>2838000.0</v>
      </c>
      <c r="Y11" s="1">
        <v>1371040.0</v>
      </c>
      <c r="Z11" s="8">
        <f t="shared" si="19"/>
        <v>0.07141642578</v>
      </c>
      <c r="AA11" s="7">
        <f t="shared" si="20"/>
        <v>6757.142857</v>
      </c>
      <c r="AB11" s="9">
        <f t="shared" ref="AB11:AC11" si="27">W11/V11</f>
        <v>1.430952381</v>
      </c>
      <c r="AC11" s="7">
        <f t="shared" si="27"/>
        <v>4722.129784</v>
      </c>
    </row>
    <row r="12">
      <c r="A12" s="22" t="s">
        <v>28</v>
      </c>
      <c r="B12" s="1">
        <v>358.0</v>
      </c>
      <c r="C12" s="1">
        <v>625.0</v>
      </c>
      <c r="D12" s="1">
        <v>3222065.0</v>
      </c>
      <c r="E12" s="30">
        <v>1519155.0</v>
      </c>
      <c r="F12" s="21">
        <f t="shared" si="2"/>
        <v>0.1259676284</v>
      </c>
      <c r="G12" s="31">
        <f t="shared" si="3"/>
        <v>9000.181564</v>
      </c>
      <c r="H12" s="27">
        <f t="shared" ref="H12:I12" si="28">C12/B12</f>
        <v>1.745810056</v>
      </c>
      <c r="I12" s="31">
        <f t="shared" si="28"/>
        <v>5155.304</v>
      </c>
      <c r="J12" s="24"/>
      <c r="K12" s="22" t="s">
        <v>28</v>
      </c>
      <c r="L12" s="1">
        <v>885.0</v>
      </c>
      <c r="M12" s="1">
        <v>1542.0</v>
      </c>
      <c r="N12" s="1">
        <v>8510590.0</v>
      </c>
      <c r="O12" s="1">
        <v>4095850.0</v>
      </c>
      <c r="P12" s="21">
        <f t="shared" si="7"/>
        <v>0.1436455121</v>
      </c>
      <c r="Q12" s="31">
        <f t="shared" si="8"/>
        <v>9616.485876</v>
      </c>
      <c r="R12" s="27">
        <f t="shared" ref="R12:S12" si="29">M12/L12</f>
        <v>1.742372881</v>
      </c>
      <c r="S12" s="31">
        <f t="shared" si="29"/>
        <v>5519.189364</v>
      </c>
      <c r="T12" s="24"/>
      <c r="U12" s="22" t="s">
        <v>28</v>
      </c>
      <c r="V12" s="1">
        <v>999.0</v>
      </c>
      <c r="W12" s="1">
        <v>1660.0</v>
      </c>
      <c r="X12" s="1">
        <v>8927160.0</v>
      </c>
      <c r="Y12" s="1">
        <v>4306665.0</v>
      </c>
      <c r="Z12" s="8">
        <f t="shared" si="19"/>
        <v>0.1698690699</v>
      </c>
      <c r="AA12" s="7">
        <f t="shared" si="20"/>
        <v>8936.096096</v>
      </c>
      <c r="AB12" s="9">
        <f t="shared" ref="AB12:AC12" si="30">W12/V12</f>
        <v>1.661661662</v>
      </c>
      <c r="AC12" s="7">
        <f t="shared" si="30"/>
        <v>5377.807229</v>
      </c>
    </row>
    <row r="13">
      <c r="A13" s="22" t="s">
        <v>29</v>
      </c>
      <c r="B13" s="1">
        <v>220.0</v>
      </c>
      <c r="C13" s="1">
        <v>323.0</v>
      </c>
      <c r="D13" s="1">
        <v>1638945.0</v>
      </c>
      <c r="E13" s="30">
        <v>766755.0</v>
      </c>
      <c r="F13" s="21">
        <f t="shared" si="2"/>
        <v>0.07741027445</v>
      </c>
      <c r="G13" s="31">
        <f t="shared" si="3"/>
        <v>7449.75</v>
      </c>
      <c r="H13" s="27">
        <f t="shared" ref="H13:I13" si="31">C13/B13</f>
        <v>1.468181818</v>
      </c>
      <c r="I13" s="31">
        <f t="shared" si="31"/>
        <v>5074.133127</v>
      </c>
      <c r="J13" s="24"/>
      <c r="K13" s="22" t="s">
        <v>29</v>
      </c>
      <c r="L13" s="1">
        <v>381.0</v>
      </c>
      <c r="M13" s="1">
        <v>625.0</v>
      </c>
      <c r="N13" s="1">
        <v>3439535.0</v>
      </c>
      <c r="O13" s="1">
        <v>1651705.0</v>
      </c>
      <c r="P13" s="21">
        <f t="shared" si="7"/>
        <v>0.06184061029</v>
      </c>
      <c r="Q13" s="31">
        <f t="shared" si="8"/>
        <v>9027.650919</v>
      </c>
      <c r="R13" s="27">
        <f t="shared" ref="R13:S13" si="32">M13/L13</f>
        <v>1.640419948</v>
      </c>
      <c r="S13" s="31">
        <f t="shared" si="32"/>
        <v>5503.256</v>
      </c>
      <c r="T13" s="24"/>
      <c r="U13" s="22" t="s">
        <v>29</v>
      </c>
      <c r="V13" s="1">
        <v>387.0</v>
      </c>
      <c r="W13" s="1">
        <v>562.0</v>
      </c>
      <c r="X13" s="1">
        <v>3135275.0</v>
      </c>
      <c r="Y13" s="1">
        <v>1509805.0</v>
      </c>
      <c r="Z13" s="8">
        <f t="shared" si="19"/>
        <v>0.06580513518</v>
      </c>
      <c r="AA13" s="7">
        <f t="shared" si="20"/>
        <v>8101.485788</v>
      </c>
      <c r="AB13" s="9">
        <f t="shared" ref="AB13:AC13" si="33">W13/V13</f>
        <v>1.452196382</v>
      </c>
      <c r="AC13" s="7">
        <f t="shared" si="33"/>
        <v>5578.781139</v>
      </c>
    </row>
    <row r="14">
      <c r="A14" s="22" t="s">
        <v>30</v>
      </c>
      <c r="B14" s="1">
        <v>224.0</v>
      </c>
      <c r="C14" s="1">
        <v>338.0</v>
      </c>
      <c r="D14" s="1">
        <v>1742675.0</v>
      </c>
      <c r="E14" s="30">
        <v>828905.0</v>
      </c>
      <c r="F14" s="21">
        <f t="shared" si="2"/>
        <v>0.07881773399</v>
      </c>
      <c r="G14" s="31">
        <f t="shared" si="3"/>
        <v>7779.799107</v>
      </c>
      <c r="H14" s="27">
        <f t="shared" ref="H14:I14" si="34">C14/B14</f>
        <v>1.508928571</v>
      </c>
      <c r="I14" s="31">
        <f t="shared" si="34"/>
        <v>5155.843195</v>
      </c>
      <c r="J14" s="24"/>
      <c r="K14" s="22" t="s">
        <v>30</v>
      </c>
      <c r="L14" s="1">
        <v>384.0</v>
      </c>
      <c r="M14" s="1">
        <v>654.0</v>
      </c>
      <c r="N14" s="1">
        <v>3467475.0</v>
      </c>
      <c r="O14" s="1">
        <v>1650495.0</v>
      </c>
      <c r="P14" s="21">
        <f t="shared" si="7"/>
        <v>0.06232754423</v>
      </c>
      <c r="Q14" s="31">
        <f t="shared" si="8"/>
        <v>9029.882813</v>
      </c>
      <c r="R14" s="27">
        <f t="shared" ref="R14:S14" si="35">M14/L14</f>
        <v>1.703125</v>
      </c>
      <c r="S14" s="31">
        <f t="shared" si="35"/>
        <v>5301.949541</v>
      </c>
      <c r="T14" s="24"/>
      <c r="U14" s="22" t="s">
        <v>30</v>
      </c>
      <c r="V14" s="1">
        <v>343.0</v>
      </c>
      <c r="W14" s="1">
        <v>522.0</v>
      </c>
      <c r="X14" s="1">
        <v>2546775.0</v>
      </c>
      <c r="Y14" s="1">
        <v>1241075.0</v>
      </c>
      <c r="Z14" s="8">
        <f t="shared" si="19"/>
        <v>0.05832341439</v>
      </c>
      <c r="AA14" s="7">
        <f t="shared" si="20"/>
        <v>7425</v>
      </c>
      <c r="AB14" s="9">
        <f t="shared" ref="AB14:AC14" si="36">W14/V14</f>
        <v>1.521865889</v>
      </c>
      <c r="AC14" s="7">
        <f t="shared" si="36"/>
        <v>4878.87931</v>
      </c>
    </row>
    <row r="15">
      <c r="A15" s="22" t="s">
        <v>31</v>
      </c>
      <c r="B15" s="1">
        <v>230.0</v>
      </c>
      <c r="C15" s="1">
        <v>349.0</v>
      </c>
      <c r="D15" s="1">
        <v>1446720.0</v>
      </c>
      <c r="E15" s="30">
        <v>692780.0</v>
      </c>
      <c r="F15" s="21">
        <f t="shared" si="2"/>
        <v>0.08092892329</v>
      </c>
      <c r="G15" s="31">
        <f t="shared" si="3"/>
        <v>6290.086957</v>
      </c>
      <c r="H15" s="27">
        <f t="shared" ref="H15:I15" si="37">C15/B15</f>
        <v>1.517391304</v>
      </c>
      <c r="I15" s="31">
        <f t="shared" si="37"/>
        <v>4145.329513</v>
      </c>
      <c r="J15" s="24"/>
      <c r="K15" s="22" t="s">
        <v>31</v>
      </c>
      <c r="L15" s="1">
        <v>351.0</v>
      </c>
      <c r="M15" s="1">
        <v>561.0</v>
      </c>
      <c r="N15" s="1">
        <v>2413840.0</v>
      </c>
      <c r="O15" s="1">
        <v>1158025.0</v>
      </c>
      <c r="P15" s="21">
        <f t="shared" si="7"/>
        <v>0.0569712709</v>
      </c>
      <c r="Q15" s="31">
        <f t="shared" si="8"/>
        <v>6877.037037</v>
      </c>
      <c r="R15" s="27">
        <f t="shared" ref="R15:S15" si="38">M15/L15</f>
        <v>1.598290598</v>
      </c>
      <c r="S15" s="31">
        <f t="shared" si="38"/>
        <v>4302.745098</v>
      </c>
      <c r="T15" s="24"/>
      <c r="U15" s="22" t="s">
        <v>31</v>
      </c>
      <c r="V15" s="1">
        <v>356.0</v>
      </c>
      <c r="W15" s="1">
        <v>518.0</v>
      </c>
      <c r="X15" s="1">
        <v>2251975.0</v>
      </c>
      <c r="Y15" s="1">
        <v>1074480.0</v>
      </c>
      <c r="Z15" s="8">
        <f t="shared" si="19"/>
        <v>0.0605339228</v>
      </c>
      <c r="AA15" s="7">
        <f t="shared" si="20"/>
        <v>6325.772472</v>
      </c>
      <c r="AB15" s="9">
        <f t="shared" ref="AB15:AC15" si="39">W15/V15</f>
        <v>1.45505618</v>
      </c>
      <c r="AC15" s="7">
        <f t="shared" si="39"/>
        <v>4347.442085</v>
      </c>
    </row>
    <row r="16">
      <c r="A16" s="23" t="s">
        <v>32</v>
      </c>
      <c r="B16" s="4">
        <v>311.0</v>
      </c>
      <c r="C16" s="4">
        <v>523.0</v>
      </c>
      <c r="D16" s="4">
        <v>2693735.0</v>
      </c>
      <c r="E16" s="33">
        <v>1293325.0</v>
      </c>
      <c r="F16" s="21">
        <f t="shared" si="2"/>
        <v>0.1094299789</v>
      </c>
      <c r="G16" s="31">
        <f t="shared" si="3"/>
        <v>8661.527331</v>
      </c>
      <c r="H16" s="27">
        <f t="shared" ref="H16:I16" si="40">C16/B16</f>
        <v>1.681672026</v>
      </c>
      <c r="I16" s="31">
        <f t="shared" si="40"/>
        <v>5150.544933</v>
      </c>
      <c r="J16" s="24"/>
      <c r="K16" s="23" t="s">
        <v>32</v>
      </c>
      <c r="L16" s="4">
        <v>743.0</v>
      </c>
      <c r="M16" s="4">
        <v>1364.0</v>
      </c>
      <c r="N16" s="4">
        <v>7542645.0</v>
      </c>
      <c r="O16" s="4">
        <v>3669875.0</v>
      </c>
      <c r="P16" s="21">
        <f t="shared" si="7"/>
        <v>0.1205973056</v>
      </c>
      <c r="Q16" s="31">
        <f t="shared" si="8"/>
        <v>10151.60834</v>
      </c>
      <c r="R16" s="27">
        <f t="shared" ref="R16:S16" si="41">M16/L16</f>
        <v>1.835800808</v>
      </c>
      <c r="S16" s="31">
        <f t="shared" si="41"/>
        <v>5529.798387</v>
      </c>
      <c r="T16" s="24"/>
      <c r="U16" s="23" t="s">
        <v>32</v>
      </c>
      <c r="V16" s="4">
        <v>778.0</v>
      </c>
      <c r="W16" s="4">
        <v>1300.0</v>
      </c>
      <c r="X16" s="4">
        <v>7285410.0</v>
      </c>
      <c r="Y16" s="4">
        <v>3469510.0</v>
      </c>
      <c r="Z16" s="8">
        <f t="shared" si="19"/>
        <v>0.1322904268</v>
      </c>
      <c r="AA16" s="7">
        <f t="shared" si="20"/>
        <v>9364.280206</v>
      </c>
      <c r="AB16" s="9">
        <f t="shared" ref="AB16:AC16" si="42">W16/V16</f>
        <v>1.670951157</v>
      </c>
      <c r="AC16" s="7">
        <f t="shared" si="42"/>
        <v>5604.161538</v>
      </c>
    </row>
    <row r="19">
      <c r="A19" s="34" t="s">
        <v>36</v>
      </c>
    </row>
    <row r="20">
      <c r="B20" s="19" t="s">
        <v>15</v>
      </c>
      <c r="E20" s="19" t="s">
        <v>37</v>
      </c>
      <c r="H20" s="19" t="s">
        <v>12</v>
      </c>
      <c r="K20" s="26"/>
    </row>
    <row r="21">
      <c r="A21" s="16" t="s">
        <v>14</v>
      </c>
      <c r="B21" s="26" t="s">
        <v>33</v>
      </c>
      <c r="C21" s="26" t="s">
        <v>34</v>
      </c>
      <c r="D21" s="26" t="s">
        <v>35</v>
      </c>
      <c r="E21" s="26" t="s">
        <v>33</v>
      </c>
      <c r="F21" s="26" t="s">
        <v>34</v>
      </c>
      <c r="G21" s="26" t="s">
        <v>35</v>
      </c>
      <c r="H21" s="26" t="s">
        <v>33</v>
      </c>
      <c r="I21" s="26" t="s">
        <v>34</v>
      </c>
      <c r="J21" s="26" t="s">
        <v>35</v>
      </c>
    </row>
    <row r="22">
      <c r="A22" s="22" t="s">
        <v>19</v>
      </c>
      <c r="B22" s="8">
        <f t="shared" ref="B22:B35" si="43">F3</f>
        <v>1</v>
      </c>
      <c r="C22" s="35" t="str">
        <f t="shared" ref="C22:C35" si="44">P3</f>
        <v/>
      </c>
      <c r="D22" s="35" t="str">
        <f t="shared" ref="D22:D35" si="45">Z3</f>
        <v/>
      </c>
      <c r="E22" s="7">
        <f t="shared" ref="E22:E35" si="46">G3</f>
        <v>6638.298733</v>
      </c>
      <c r="F22" s="35" t="str">
        <f t="shared" ref="F22:F35" si="47">Q3</f>
        <v/>
      </c>
      <c r="G22" s="35" t="str">
        <f t="shared" ref="G22:G35" si="48">AA3</f>
        <v/>
      </c>
      <c r="H22" s="7">
        <f t="shared" ref="H22:H35" si="49">I3</f>
        <v>5250.777901</v>
      </c>
      <c r="I22" s="35" t="str">
        <f t="shared" ref="I22:I35" si="50">S3</f>
        <v/>
      </c>
      <c r="J22" s="35" t="str">
        <f t="shared" ref="J22:J35" si="51">AC3</f>
        <v/>
      </c>
    </row>
    <row r="23">
      <c r="A23" s="22" t="s">
        <v>20</v>
      </c>
      <c r="B23" s="8">
        <f t="shared" si="43"/>
        <v>0.1861365236</v>
      </c>
      <c r="C23" s="8">
        <f t="shared" si="44"/>
        <v>1</v>
      </c>
      <c r="D23" s="35" t="str">
        <f t="shared" si="45"/>
        <v/>
      </c>
      <c r="E23" s="7">
        <f t="shared" si="46"/>
        <v>8274.120983</v>
      </c>
      <c r="F23" s="7">
        <f t="shared" si="47"/>
        <v>8248.009252</v>
      </c>
      <c r="G23" s="35" t="str">
        <f t="shared" si="48"/>
        <v/>
      </c>
      <c r="H23" s="7">
        <f t="shared" si="49"/>
        <v>5350.867971</v>
      </c>
      <c r="I23" s="7">
        <f t="shared" si="50"/>
        <v>6367.91792</v>
      </c>
      <c r="J23" s="35" t="str">
        <f t="shared" si="51"/>
        <v/>
      </c>
    </row>
    <row r="24">
      <c r="A24" s="22" t="s">
        <v>21</v>
      </c>
      <c r="B24" s="8">
        <f t="shared" si="43"/>
        <v>0.08339197748</v>
      </c>
      <c r="C24" s="8">
        <f t="shared" si="44"/>
        <v>0.1004707028</v>
      </c>
      <c r="D24" s="35" t="str">
        <f t="shared" si="45"/>
        <v/>
      </c>
      <c r="E24" s="7">
        <f t="shared" si="46"/>
        <v>8054.599156</v>
      </c>
      <c r="F24" s="7">
        <f t="shared" si="47"/>
        <v>8717.988691</v>
      </c>
      <c r="G24" s="35" t="str">
        <f t="shared" si="48"/>
        <v/>
      </c>
      <c r="H24" s="7">
        <f t="shared" si="49"/>
        <v>5873.661538</v>
      </c>
      <c r="I24" s="7">
        <f t="shared" si="50"/>
        <v>5747.00213</v>
      </c>
      <c r="J24" s="35" t="str">
        <f t="shared" si="51"/>
        <v/>
      </c>
    </row>
    <row r="25">
      <c r="A25" s="22" t="s">
        <v>22</v>
      </c>
      <c r="B25" s="8">
        <f t="shared" si="43"/>
        <v>0.1118930331</v>
      </c>
      <c r="C25" s="8">
        <f t="shared" si="44"/>
        <v>0.08862197695</v>
      </c>
      <c r="D25" s="35" t="str">
        <f t="shared" si="45"/>
        <v/>
      </c>
      <c r="E25" s="7">
        <f t="shared" si="46"/>
        <v>7412.893082</v>
      </c>
      <c r="F25" s="7">
        <f t="shared" si="47"/>
        <v>7352.57326</v>
      </c>
      <c r="G25" s="35" t="str">
        <f t="shared" si="48"/>
        <v/>
      </c>
      <c r="H25" s="7">
        <f t="shared" si="49"/>
        <v>5047.751606</v>
      </c>
      <c r="I25" s="7">
        <f t="shared" si="50"/>
        <v>4695.327485</v>
      </c>
      <c r="J25" s="35" t="str">
        <f t="shared" si="51"/>
        <v/>
      </c>
    </row>
    <row r="26">
      <c r="A26" s="22" t="s">
        <v>23</v>
      </c>
      <c r="B26" s="8">
        <f t="shared" si="43"/>
        <v>0.1115411682</v>
      </c>
      <c r="C26" s="8">
        <f t="shared" si="44"/>
        <v>0.07320240221</v>
      </c>
      <c r="D26" s="35" t="str">
        <f t="shared" si="45"/>
        <v/>
      </c>
      <c r="E26" s="7">
        <f t="shared" si="46"/>
        <v>6982.744479</v>
      </c>
      <c r="F26" s="7">
        <f t="shared" si="47"/>
        <v>7795.853659</v>
      </c>
      <c r="G26" s="35" t="str">
        <f t="shared" si="48"/>
        <v/>
      </c>
      <c r="H26" s="7">
        <f t="shared" si="49"/>
        <v>4729.764957</v>
      </c>
      <c r="I26" s="7">
        <f t="shared" si="50"/>
        <v>5051.623563</v>
      </c>
      <c r="J26" s="35" t="str">
        <f t="shared" si="51"/>
        <v/>
      </c>
    </row>
    <row r="27">
      <c r="A27" s="22" t="s">
        <v>24</v>
      </c>
      <c r="B27" s="8">
        <f t="shared" si="43"/>
        <v>0.1287825475</v>
      </c>
      <c r="C27" s="8">
        <f t="shared" si="44"/>
        <v>0.152410323</v>
      </c>
      <c r="D27" s="8">
        <f t="shared" si="45"/>
        <v>1</v>
      </c>
      <c r="E27" s="7">
        <f t="shared" si="46"/>
        <v>8245.040984</v>
      </c>
      <c r="F27" s="7">
        <f t="shared" si="47"/>
        <v>9322.880724</v>
      </c>
      <c r="G27" s="7">
        <f t="shared" si="48"/>
        <v>7837.083829</v>
      </c>
      <c r="H27" s="7">
        <f t="shared" si="49"/>
        <v>4906.804878</v>
      </c>
      <c r="I27" s="7">
        <f t="shared" si="50"/>
        <v>5544.132362</v>
      </c>
      <c r="J27" s="7">
        <f t="shared" si="51"/>
        <v>6024.034767</v>
      </c>
    </row>
    <row r="28">
      <c r="A28" s="22" t="s">
        <v>25</v>
      </c>
      <c r="B28" s="8">
        <f t="shared" si="43"/>
        <v>0.08233638283</v>
      </c>
      <c r="C28" s="8">
        <f t="shared" si="44"/>
        <v>0.06784612888</v>
      </c>
      <c r="D28" s="8">
        <f t="shared" si="45"/>
        <v>0.1173269852</v>
      </c>
      <c r="E28" s="7">
        <f t="shared" si="46"/>
        <v>6732.32906</v>
      </c>
      <c r="F28" s="7">
        <f t="shared" si="47"/>
        <v>8205.789474</v>
      </c>
      <c r="G28" s="7">
        <f t="shared" si="48"/>
        <v>8017.166667</v>
      </c>
      <c r="H28" s="7">
        <f t="shared" si="49"/>
        <v>4647.094395</v>
      </c>
      <c r="I28" s="7">
        <f t="shared" si="50"/>
        <v>4992.751092</v>
      </c>
      <c r="J28" s="7">
        <f t="shared" si="51"/>
        <v>5471.656775</v>
      </c>
    </row>
    <row r="29">
      <c r="A29" s="22" t="s">
        <v>26</v>
      </c>
      <c r="B29" s="8">
        <f t="shared" si="43"/>
        <v>0.08937368051</v>
      </c>
      <c r="C29" s="8">
        <f t="shared" si="44"/>
        <v>0.07174160039</v>
      </c>
      <c r="D29" s="8">
        <f t="shared" si="45"/>
        <v>0.08042849855</v>
      </c>
      <c r="E29" s="7">
        <f t="shared" si="46"/>
        <v>7105.393701</v>
      </c>
      <c r="F29" s="7">
        <f t="shared" si="47"/>
        <v>7636.78733</v>
      </c>
      <c r="G29" s="7">
        <f t="shared" si="48"/>
        <v>7550.465116</v>
      </c>
      <c r="H29" s="7">
        <f t="shared" si="49"/>
        <v>4423.455882</v>
      </c>
      <c r="I29" s="7">
        <f t="shared" si="50"/>
        <v>4573.794038</v>
      </c>
      <c r="J29" s="7">
        <f t="shared" si="51"/>
        <v>5290.918519</v>
      </c>
    </row>
    <row r="30">
      <c r="A30" s="22" t="s">
        <v>27</v>
      </c>
      <c r="B30" s="8">
        <f t="shared" si="43"/>
        <v>0.09465165376</v>
      </c>
      <c r="C30" s="8">
        <f t="shared" si="44"/>
        <v>0.06979386463</v>
      </c>
      <c r="D30" s="8">
        <f t="shared" si="45"/>
        <v>0.07141642578</v>
      </c>
      <c r="E30" s="7">
        <f t="shared" si="46"/>
        <v>5883.773234</v>
      </c>
      <c r="F30" s="7">
        <f t="shared" si="47"/>
        <v>8084.616279</v>
      </c>
      <c r="G30" s="7">
        <f t="shared" si="48"/>
        <v>6757.142857</v>
      </c>
      <c r="H30" s="7">
        <f t="shared" si="49"/>
        <v>4111</v>
      </c>
      <c r="I30" s="7">
        <f t="shared" si="50"/>
        <v>4755.656635</v>
      </c>
      <c r="J30" s="7">
        <f t="shared" si="51"/>
        <v>4722.129784</v>
      </c>
    </row>
    <row r="31">
      <c r="A31" s="22" t="s">
        <v>28</v>
      </c>
      <c r="B31" s="8">
        <f t="shared" si="43"/>
        <v>0.1259676284</v>
      </c>
      <c r="C31" s="8">
        <f t="shared" si="44"/>
        <v>0.1436455121</v>
      </c>
      <c r="D31" s="8">
        <f t="shared" si="45"/>
        <v>0.1698690699</v>
      </c>
      <c r="E31" s="7">
        <f t="shared" si="46"/>
        <v>9000.181564</v>
      </c>
      <c r="F31" s="7">
        <f t="shared" si="47"/>
        <v>9616.485876</v>
      </c>
      <c r="G31" s="7">
        <f t="shared" si="48"/>
        <v>8936.096096</v>
      </c>
      <c r="H31" s="7">
        <f t="shared" si="49"/>
        <v>5155.304</v>
      </c>
      <c r="I31" s="7">
        <f t="shared" si="50"/>
        <v>5519.189364</v>
      </c>
      <c r="J31" s="7">
        <f t="shared" si="51"/>
        <v>5377.807229</v>
      </c>
    </row>
    <row r="32">
      <c r="A32" s="22" t="s">
        <v>29</v>
      </c>
      <c r="B32" s="8">
        <f t="shared" si="43"/>
        <v>0.07741027445</v>
      </c>
      <c r="C32" s="8">
        <f t="shared" si="44"/>
        <v>0.06184061029</v>
      </c>
      <c r="D32" s="8">
        <f t="shared" si="45"/>
        <v>0.06580513518</v>
      </c>
      <c r="E32" s="7">
        <f t="shared" si="46"/>
        <v>7449.75</v>
      </c>
      <c r="F32" s="7">
        <f t="shared" si="47"/>
        <v>9027.650919</v>
      </c>
      <c r="G32" s="7">
        <f t="shared" si="48"/>
        <v>8101.485788</v>
      </c>
      <c r="H32" s="7">
        <f t="shared" si="49"/>
        <v>5074.133127</v>
      </c>
      <c r="I32" s="7">
        <f t="shared" si="50"/>
        <v>5503.256</v>
      </c>
      <c r="J32" s="7">
        <f t="shared" si="51"/>
        <v>5578.781139</v>
      </c>
    </row>
    <row r="33">
      <c r="A33" s="22" t="s">
        <v>30</v>
      </c>
      <c r="B33" s="8">
        <f t="shared" si="43"/>
        <v>0.07881773399</v>
      </c>
      <c r="C33" s="8">
        <f t="shared" si="44"/>
        <v>0.06232754423</v>
      </c>
      <c r="D33" s="8">
        <f t="shared" si="45"/>
        <v>0.05832341439</v>
      </c>
      <c r="E33" s="7">
        <f t="shared" si="46"/>
        <v>7779.799107</v>
      </c>
      <c r="F33" s="7">
        <f t="shared" si="47"/>
        <v>9029.882813</v>
      </c>
      <c r="G33" s="7">
        <f t="shared" si="48"/>
        <v>7425</v>
      </c>
      <c r="H33" s="7">
        <f t="shared" si="49"/>
        <v>5155.843195</v>
      </c>
      <c r="I33" s="7">
        <f t="shared" si="50"/>
        <v>5301.949541</v>
      </c>
      <c r="J33" s="7">
        <f t="shared" si="51"/>
        <v>4878.87931</v>
      </c>
    </row>
    <row r="34">
      <c r="A34" s="22" t="s">
        <v>31</v>
      </c>
      <c r="B34" s="8">
        <f t="shared" si="43"/>
        <v>0.08092892329</v>
      </c>
      <c r="C34" s="8">
        <f t="shared" si="44"/>
        <v>0.0569712709</v>
      </c>
      <c r="D34" s="8">
        <f t="shared" si="45"/>
        <v>0.0605339228</v>
      </c>
      <c r="E34" s="7">
        <f t="shared" si="46"/>
        <v>6290.086957</v>
      </c>
      <c r="F34" s="7">
        <f t="shared" si="47"/>
        <v>6877.037037</v>
      </c>
      <c r="G34" s="7">
        <f t="shared" si="48"/>
        <v>6325.772472</v>
      </c>
      <c r="H34" s="7">
        <f t="shared" si="49"/>
        <v>4145.329513</v>
      </c>
      <c r="I34" s="7">
        <f t="shared" si="50"/>
        <v>4302.745098</v>
      </c>
      <c r="J34" s="7">
        <f t="shared" si="51"/>
        <v>4347.442085</v>
      </c>
    </row>
    <row r="35">
      <c r="A35" s="23" t="s">
        <v>32</v>
      </c>
      <c r="B35" s="8">
        <f t="shared" si="43"/>
        <v>0.1094299789</v>
      </c>
      <c r="C35" s="8">
        <f t="shared" si="44"/>
        <v>0.1205973056</v>
      </c>
      <c r="D35" s="8">
        <f t="shared" si="45"/>
        <v>0.1322904268</v>
      </c>
      <c r="E35" s="7">
        <f t="shared" si="46"/>
        <v>8661.527331</v>
      </c>
      <c r="F35" s="7">
        <f t="shared" si="47"/>
        <v>10151.60834</v>
      </c>
      <c r="G35" s="7">
        <f t="shared" si="48"/>
        <v>9364.280206</v>
      </c>
      <c r="H35" s="7">
        <f t="shared" si="49"/>
        <v>5150.544933</v>
      </c>
      <c r="I35" s="7">
        <f t="shared" si="50"/>
        <v>5529.798387</v>
      </c>
      <c r="J35" s="7">
        <f t="shared" si="51"/>
        <v>5604.161538</v>
      </c>
    </row>
  </sheetData>
  <drawing r:id="rId1"/>
</worksheet>
</file>